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Personal_folders\DSRPA\Racing_RaceMeeting_DutyList\"/>
    </mc:Choice>
  </mc:AlternateContent>
  <xr:revisionPtr revIDLastSave="0" documentId="13_ncr:1_{1FD130F0-B9F4-4B51-BDA4-A54B39C70EFA}" xr6:coauthVersionLast="47" xr6:coauthVersionMax="47" xr10:uidLastSave="{00000000-0000-0000-0000-000000000000}"/>
  <bookViews>
    <workbookView xWindow="-120" yWindow="-120" windowWidth="29040" windowHeight="15840" firstSheet="1" activeTab="1" xr2:uid="{112DCC59-8078-4726-9517-C8857B307CFA}"/>
  </bookViews>
  <sheets>
    <sheet name="Directory" sheetId="3" state="hidden" r:id="rId1"/>
    <sheet name="Roster" sheetId="1" r:id="rId2"/>
    <sheet name="List" sheetId="2" r:id="rId3"/>
  </sheets>
  <definedNames>
    <definedName name="_xlnm._FilterDatabase" localSheetId="0" hidden="1">Directory!$A$1:$C$1</definedName>
    <definedName name="_xlnm.Print_Area" localSheetId="2">List!$A$1:$F$104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2" l="1"/>
  <c r="B4" i="2" s="1" a="1"/>
  <c r="B4" i="2" s="1"/>
  <c r="C4" i="2" s="1" a="1"/>
  <c r="C4" i="2" s="1"/>
  <c r="C81" i="2" a="1"/>
  <c r="B15" i="2" a="1"/>
  <c r="C44" i="2" a="1"/>
  <c r="C46" i="2" a="1"/>
  <c r="E86" i="2" a="1"/>
  <c r="C93" i="2" a="1"/>
  <c r="E38" i="2" a="1"/>
  <c r="C48" i="2" a="1"/>
  <c r="E22" i="2" a="1"/>
  <c r="C57" i="2" a="1"/>
  <c r="B18" i="2" a="1"/>
  <c r="C101" i="2" a="1"/>
  <c r="C89" i="2" a="1"/>
  <c r="E64" i="2" a="1"/>
  <c r="E17" i="2" a="1"/>
  <c r="C64" i="2" a="1"/>
  <c r="E69" i="2" a="1"/>
  <c r="E73" i="2" a="1"/>
  <c r="C90" i="2" a="1"/>
  <c r="C36" i="2" a="1"/>
  <c r="C45" i="2" a="1"/>
  <c r="E16" i="2" a="1"/>
  <c r="C43" i="2" a="1"/>
  <c r="B13" i="2" a="1"/>
  <c r="E14" i="2" a="1"/>
  <c r="E42" i="2" a="1"/>
  <c r="E23" i="2" a="1"/>
  <c r="C60" i="2" a="1"/>
  <c r="C42" i="2" a="1"/>
  <c r="E63" i="2" a="1"/>
  <c r="C78" i="2" a="1"/>
  <c r="E45" i="2" a="1"/>
  <c r="E101" i="2" a="1"/>
  <c r="C58" i="2" a="1"/>
  <c r="E71" i="2" a="1"/>
  <c r="E19" i="2" a="1"/>
  <c r="B28" i="2" a="1"/>
  <c r="C97" i="2" a="1"/>
  <c r="C38" i="2" a="1"/>
  <c r="E36" i="2" a="1"/>
  <c r="E43" i="2" a="1"/>
  <c r="B26" i="2" a="1"/>
  <c r="E65" i="2" a="1"/>
  <c r="C80" i="2" a="1"/>
  <c r="C71" i="2" a="1"/>
  <c r="C69" i="2" a="1"/>
  <c r="B9" i="2" a="1"/>
  <c r="F7" i="2" a="1"/>
  <c r="E48" i="2" a="1"/>
  <c r="E79" i="2" a="1"/>
  <c r="C79" i="2" a="1"/>
  <c r="B24" i="2" a="1"/>
  <c r="C59" i="2" a="1"/>
  <c r="E20" i="2" a="1"/>
  <c r="C99" i="2" a="1"/>
  <c r="E24" i="2" a="1"/>
  <c r="C63" i="2" a="1"/>
  <c r="E59" i="2" a="1"/>
  <c r="E18" i="2" a="1"/>
  <c r="C50" i="2" a="1"/>
  <c r="E26" i="2" a="1"/>
  <c r="E93" i="2" a="1"/>
  <c r="E46" i="2" a="1"/>
  <c r="C56" i="2" a="1"/>
  <c r="E25" i="2" a="1"/>
  <c r="B20" i="2" a="1"/>
  <c r="E99" i="2" a="1"/>
  <c r="E58" i="2" a="1"/>
  <c r="C35" i="2" a="1"/>
  <c r="E44" i="2" a="1"/>
  <c r="E97" i="2" a="1"/>
  <c r="E35" i="2" a="1"/>
  <c r="E52" i="2" a="1"/>
  <c r="C76" i="2" a="1"/>
  <c r="C65" i="2" a="1"/>
  <c r="E84" i="2" a="1"/>
  <c r="E81" i="2" a="1"/>
  <c r="E57" i="2" a="1"/>
  <c r="E21" i="2" a="1"/>
  <c r="E80" i="2" a="1"/>
  <c r="B11" i="2" a="1"/>
  <c r="E50" i="2" a="1"/>
  <c r="C86" i="2" a="1"/>
  <c r="C66" i="2" a="1"/>
  <c r="C52" i="2" a="1"/>
  <c r="B8" i="2" a="1"/>
  <c r="C73" i="2" a="1"/>
  <c r="E56" i="2" a="1"/>
  <c r="B14" i="2" a="1"/>
  <c r="E89" i="2" a="1"/>
  <c r="B19" i="2" a="1"/>
  <c r="C84" i="2" a="1"/>
  <c r="E78" i="2" a="1"/>
  <c r="E66" i="2" a="1"/>
  <c r="E60" i="2" a="1"/>
  <c r="E15" i="2" a="1"/>
  <c r="E90" i="2" a="1"/>
  <c r="E76" i="2" a="1"/>
  <c r="B16" i="2" a="1"/>
  <c r="B8" i="2" l="1"/>
  <c r="B9" i="2"/>
  <c r="B11" i="2"/>
  <c r="B13" i="2"/>
  <c r="B14" i="2"/>
  <c r="B15" i="2"/>
  <c r="B16" i="2"/>
  <c r="B18" i="2"/>
  <c r="B19" i="2"/>
  <c r="B20" i="2"/>
  <c r="B24" i="2"/>
  <c r="F7" i="2"/>
  <c r="B28" i="2"/>
  <c r="B26" i="2"/>
  <c r="E23" i="2"/>
  <c r="E22" i="2"/>
  <c r="E24" i="2"/>
  <c r="E21" i="2"/>
  <c r="E25" i="2"/>
  <c r="E26" i="2"/>
  <c r="E20" i="2"/>
  <c r="E19" i="2"/>
  <c r="E18" i="2"/>
  <c r="E17" i="2"/>
  <c r="E16" i="2"/>
  <c r="E15" i="2"/>
  <c r="E14" i="2"/>
  <c r="E101" i="2"/>
  <c r="E99" i="2"/>
  <c r="E93" i="2"/>
  <c r="E86" i="2"/>
  <c r="E73" i="2"/>
  <c r="E71" i="2"/>
  <c r="E69" i="2"/>
  <c r="E60" i="2"/>
  <c r="E52" i="2"/>
  <c r="E50" i="2"/>
  <c r="E38" i="2"/>
  <c r="C36" i="2"/>
  <c r="C101" i="2"/>
  <c r="C99" i="2"/>
  <c r="C93" i="2"/>
  <c r="C86" i="2"/>
  <c r="C73" i="2"/>
  <c r="C71" i="2"/>
  <c r="C69" i="2"/>
  <c r="C60" i="2"/>
  <c r="C52" i="2"/>
  <c r="C50" i="2"/>
  <c r="C38" i="2"/>
  <c r="C97" i="2"/>
  <c r="C90" i="2"/>
  <c r="C89" i="2"/>
  <c r="C84" i="2"/>
  <c r="C79" i="2"/>
  <c r="C80" i="2"/>
  <c r="C81" i="2"/>
  <c r="C78" i="2"/>
  <c r="C76" i="2"/>
  <c r="C66" i="2"/>
  <c r="C65" i="2"/>
  <c r="C64" i="2"/>
  <c r="C63" i="2"/>
  <c r="C59" i="2"/>
  <c r="C58" i="2"/>
  <c r="C57" i="2"/>
  <c r="C56" i="2"/>
  <c r="C48" i="2"/>
  <c r="C46" i="2"/>
  <c r="C45" i="2"/>
  <c r="C44" i="2"/>
  <c r="C43" i="2"/>
  <c r="C42" i="2"/>
  <c r="E97" i="2"/>
  <c r="E90" i="2"/>
  <c r="E89" i="2"/>
  <c r="E84" i="2"/>
  <c r="E78" i="2"/>
  <c r="E81" i="2"/>
  <c r="E80" i="2"/>
  <c r="E79" i="2"/>
  <c r="E76" i="2"/>
  <c r="E66" i="2"/>
  <c r="E65" i="2"/>
  <c r="E64" i="2"/>
  <c r="E63" i="2"/>
  <c r="E59" i="2"/>
  <c r="E58" i="2"/>
  <c r="E57" i="2"/>
  <c r="E56" i="2"/>
  <c r="E48" i="2"/>
  <c r="E46" i="2"/>
  <c r="E45" i="2"/>
  <c r="E44" i="2"/>
  <c r="E43" i="2"/>
  <c r="E42" i="2"/>
  <c r="E35" i="2"/>
  <c r="E36" i="2"/>
  <c r="C35" i="2"/>
  <c r="D4" i="2"/>
  <c r="E4" i="2" s="1"/>
  <c r="D3" i="2" s="1"/>
  <c r="C31" i="2" s="1"/>
  <c r="D90" i="2" a="1"/>
  <c r="D59" i="2" a="1"/>
  <c r="D64" i="2" a="1"/>
  <c r="D73" i="2" a="1"/>
  <c r="F81" i="2" a="1"/>
  <c r="D89" i="2" a="1"/>
  <c r="F64" i="2" a="1"/>
  <c r="F66" i="2" a="1"/>
  <c r="F99" i="2" a="1"/>
  <c r="D56" i="2" a="1"/>
  <c r="F23" i="2" a="1"/>
  <c r="F73" i="2" a="1"/>
  <c r="F89" i="2" a="1"/>
  <c r="D76" i="2" a="1"/>
  <c r="F35" i="2" a="1"/>
  <c r="D63" i="2" a="1"/>
  <c r="D36" i="2" a="1"/>
  <c r="D69" i="2" a="1"/>
  <c r="F97" i="2" a="1"/>
  <c r="D86" i="2" a="1"/>
  <c r="F43" i="2" a="1"/>
  <c r="F44" i="2" a="1"/>
  <c r="D79" i="2" a="1"/>
  <c r="F26" i="2" a="1"/>
  <c r="F24" i="2" a="1"/>
  <c r="D52" i="2" a="1"/>
  <c r="D35" i="2" a="1"/>
  <c r="F59" i="2" a="1"/>
  <c r="D50" i="2" a="1"/>
  <c r="F48" i="2" a="1"/>
  <c r="D45" i="2" a="1"/>
  <c r="F69" i="2" a="1"/>
  <c r="F25" i="2" a="1"/>
  <c r="F86" i="2" a="1"/>
  <c r="F14" i="2" a="1"/>
  <c r="D97" i="2" a="1"/>
  <c r="D43" i="2" a="1"/>
  <c r="D66" i="2" a="1"/>
  <c r="D93" i="2" a="1"/>
  <c r="F65" i="2" a="1"/>
  <c r="F71" i="2" a="1"/>
  <c r="F80" i="2" a="1"/>
  <c r="D46" i="2" a="1"/>
  <c r="F60" i="2" a="1"/>
  <c r="F76" i="2" a="1"/>
  <c r="F101" i="2" a="1"/>
  <c r="D84" i="2" a="1"/>
  <c r="F58" i="2" a="1"/>
  <c r="F52" i="2" a="1"/>
  <c r="F17" i="2" a="1"/>
  <c r="F20" i="2" a="1"/>
  <c r="D42" i="2" a="1"/>
  <c r="F46" i="2" a="1"/>
  <c r="D101" i="2" a="1"/>
  <c r="F50" i="2" a="1"/>
  <c r="F90" i="2" a="1"/>
  <c r="D81" i="2" a="1"/>
  <c r="D99" i="2" a="1"/>
  <c r="F42" i="2" a="1"/>
  <c r="F15" i="2" a="1"/>
  <c r="D71" i="2" a="1"/>
  <c r="F45" i="2" a="1"/>
  <c r="D38" i="2" a="1"/>
  <c r="D57" i="2" a="1"/>
  <c r="D78" i="2" a="1"/>
  <c r="F78" i="2" a="1"/>
  <c r="D58" i="2" a="1"/>
  <c r="F36" i="2" a="1"/>
  <c r="D80" i="2" a="1"/>
  <c r="F57" i="2" a="1"/>
  <c r="F16" i="2" a="1"/>
  <c r="F93" i="2" a="1"/>
  <c r="D65" i="2" a="1"/>
  <c r="D60" i="2" a="1"/>
  <c r="F21" i="2" a="1"/>
  <c r="D44" i="2" a="1"/>
  <c r="F22" i="2" a="1"/>
  <c r="F18" i="2" a="1"/>
  <c r="F84" i="2" a="1"/>
  <c r="F63" i="2" a="1"/>
  <c r="D48" i="2" a="1"/>
  <c r="F19" i="2" a="1"/>
  <c r="F38" i="2" a="1"/>
  <c r="F56" i="2" a="1"/>
  <c r="F79" i="2" a="1"/>
  <c r="F101" i="2" l="1"/>
  <c r="F99" i="2"/>
  <c r="F97" i="2"/>
  <c r="F93" i="2"/>
  <c r="F90" i="2"/>
  <c r="F89" i="2"/>
  <c r="F86" i="2"/>
  <c r="F84" i="2"/>
  <c r="F81" i="2"/>
  <c r="F80" i="2"/>
  <c r="F79" i="2"/>
  <c r="F78" i="2"/>
  <c r="F76" i="2"/>
  <c r="F73" i="2"/>
  <c r="F71" i="2"/>
  <c r="F69" i="2"/>
  <c r="F66" i="2"/>
  <c r="F65" i="2"/>
  <c r="F64" i="2"/>
  <c r="F63" i="2"/>
  <c r="F60" i="2"/>
  <c r="F59" i="2"/>
  <c r="F58" i="2"/>
  <c r="F57" i="2"/>
  <c r="F56" i="2"/>
  <c r="F52" i="2"/>
  <c r="F50" i="2"/>
  <c r="F48" i="2"/>
  <c r="F46" i="2"/>
  <c r="F45" i="2"/>
  <c r="F44" i="2"/>
  <c r="F43" i="2"/>
  <c r="F42" i="2"/>
  <c r="F38" i="2"/>
  <c r="F35" i="2"/>
  <c r="D101" i="2"/>
  <c r="D99" i="2"/>
  <c r="D97" i="2"/>
  <c r="D93" i="2"/>
  <c r="D90" i="2"/>
  <c r="D89" i="2"/>
  <c r="D86" i="2"/>
  <c r="D84" i="2"/>
  <c r="D81" i="2"/>
  <c r="D80" i="2"/>
  <c r="D79" i="2"/>
  <c r="D78" i="2"/>
  <c r="D76" i="2"/>
  <c r="D73" i="2"/>
  <c r="D71" i="2"/>
  <c r="D69" i="2"/>
  <c r="D66" i="2"/>
  <c r="D65" i="2"/>
  <c r="D64" i="2"/>
  <c r="D63" i="2"/>
  <c r="D60" i="2"/>
  <c r="D59" i="2"/>
  <c r="D58" i="2"/>
  <c r="D57" i="2"/>
  <c r="D56" i="2"/>
  <c r="D52" i="2"/>
  <c r="D50" i="2"/>
  <c r="D48" i="2"/>
  <c r="D46" i="2"/>
  <c r="D45" i="2"/>
  <c r="D44" i="2"/>
  <c r="D43" i="2"/>
  <c r="D42" i="2"/>
  <c r="D36" i="2"/>
  <c r="D38" i="2"/>
  <c r="F36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D35" i="2"/>
  <c r="E3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43DE0DF-2AE7-4126-A05A-483760075E63}" keepAlive="1" name="Connection" type="5" refreshedVersion="0" background="1">
    <dbPr connection="Provider=Microsoft.Mashup.OleDb.1;Data Source=$Workbook$;Location=organizationalPerson;Extended Properties=&quot;&quot;" commandType="0"/>
  </connection>
  <connection id="2" xr16:uid="{0E445DDD-CC5A-4C45-BD50-A9E67C9136E8}" keepAlive="1" name="Query - OrganizationalPerson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  <connection id="3" xr16:uid="{D6D8EF41-A548-4005-A7CF-E64E6E34F571}" keepAlive="1" name="Query - OrganizationalPerson(1)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<sst xmlns="http://schemas.openxmlformats.org/spreadsheetml/2006/main" count="370" uniqueCount="220">
  <si>
    <t>Race Track</t>
  </si>
  <si>
    <t>Cross Betting</t>
  </si>
  <si>
    <t>Public Affairs</t>
  </si>
  <si>
    <t>IMT</t>
  </si>
  <si>
    <t>Racing</t>
  </si>
  <si>
    <t>Web Content Publishing &amp; Monitoring</t>
  </si>
  <si>
    <t>Digital Marketing Solutions &amp; Services</t>
  </si>
  <si>
    <t>Duty Official</t>
  </si>
  <si>
    <t>Raceday Control</t>
  </si>
  <si>
    <t>Announcer</t>
  </si>
  <si>
    <t>Digital Services &amp; Funds Transfer Services</t>
  </si>
  <si>
    <t>Wagering Products</t>
  </si>
  <si>
    <t>Broadcasting Operations</t>
  </si>
  <si>
    <t>Customer Growth &amp; Experience</t>
  </si>
  <si>
    <t>Owners &amp; Members Customer Group</t>
  </si>
  <si>
    <t>Traditional Public Customer Group</t>
  </si>
  <si>
    <t>Public Customer Group</t>
  </si>
  <si>
    <t>Tourist Customer Group</t>
  </si>
  <si>
    <t>Racing Marketing</t>
  </si>
  <si>
    <t>Racing Event Marketing</t>
  </si>
  <si>
    <t>Racecourse Marketing &amp; Entertainment</t>
  </si>
  <si>
    <t>On-Course Betting Services</t>
  </si>
  <si>
    <t>Off-Course Betting Services</t>
  </si>
  <si>
    <t>Telebet Services</t>
  </si>
  <si>
    <t>Membership Services / VM / Steward Floor</t>
  </si>
  <si>
    <t>Catering</t>
  </si>
  <si>
    <t>Catering (Box)</t>
  </si>
  <si>
    <t>Catering (Trackside)</t>
  </si>
  <si>
    <t>Catering (Sha Tin Clubhouse)</t>
  </si>
  <si>
    <t>Property</t>
  </si>
  <si>
    <t>Facilities Technical Support</t>
  </si>
  <si>
    <t>Facilities Services Support</t>
  </si>
  <si>
    <t>Finance</t>
  </si>
  <si>
    <t>Treasury</t>
  </si>
  <si>
    <t>Human Resources</t>
  </si>
  <si>
    <t>Audit</t>
  </si>
  <si>
    <t>Logistics &amp; Transport</t>
  </si>
  <si>
    <t>External Affairs</t>
  </si>
  <si>
    <t>Sha Tin</t>
  </si>
  <si>
    <t>Happy Valley</t>
  </si>
  <si>
    <t>R A C E  M E E T I N G  D U T Y</t>
  </si>
  <si>
    <t>CONFIDENTIAL</t>
  </si>
  <si>
    <t>Race Meeting Stewards</t>
  </si>
  <si>
    <t>Chairman of Racing Stewards</t>
  </si>
  <si>
    <t>On-Course IMT Leader</t>
  </si>
  <si>
    <t>David Fan</t>
  </si>
  <si>
    <t>6035 5199</t>
  </si>
  <si>
    <t>Henry Chan</t>
  </si>
  <si>
    <t>Peter Kung</t>
  </si>
  <si>
    <t>Chief Stipendiary Steward</t>
  </si>
  <si>
    <t>M Van Gestel</t>
  </si>
  <si>
    <t>IMT Zoom Meeting ID / Conference Bridge</t>
  </si>
  <si>
    <t>202 966 1555 / 2966 1555</t>
  </si>
  <si>
    <t>Stipendiary Stewards</t>
  </si>
  <si>
    <t>T Bailey</t>
  </si>
  <si>
    <t>G Bush</t>
  </si>
  <si>
    <t>Andrew Harding</t>
  </si>
  <si>
    <t>9382 7991</t>
  </si>
  <si>
    <t>K C Y Kwok</t>
  </si>
  <si>
    <t>Wayne Henrys</t>
  </si>
  <si>
    <t>9086 7500</t>
  </si>
  <si>
    <t>J C H Ho</t>
  </si>
  <si>
    <t>Patrick Wong</t>
  </si>
  <si>
    <t>9168 6312</t>
  </si>
  <si>
    <t>Cadet Stipendiary Stewards</t>
  </si>
  <si>
    <t>Betting Channels - Retail &amp; Telebet</t>
  </si>
  <si>
    <t>6038 0927</t>
  </si>
  <si>
    <t>J N H Chan</t>
  </si>
  <si>
    <t>Mabel Sin</t>
  </si>
  <si>
    <t>6090 0074</t>
  </si>
  <si>
    <t>T C Y Hui</t>
  </si>
  <si>
    <t>Information Technology RDE</t>
  </si>
  <si>
    <t>Steve Dodd</t>
  </si>
  <si>
    <t>9889 3798</t>
  </si>
  <si>
    <t>E C N Wong</t>
  </si>
  <si>
    <t>Yves Thoma</t>
  </si>
  <si>
    <t>5999 7187</t>
  </si>
  <si>
    <t>Ray Chan</t>
  </si>
  <si>
    <t>9188 2013</t>
  </si>
  <si>
    <t>Race Day Duty Team</t>
  </si>
  <si>
    <t>Philip Ho</t>
  </si>
  <si>
    <t>6900 4403</t>
  </si>
  <si>
    <t>Senior Steward</t>
  </si>
  <si>
    <t>Sandra Chan</t>
  </si>
  <si>
    <t>9239 0066</t>
  </si>
  <si>
    <t>Martin Liao</t>
  </si>
  <si>
    <t>Security, Integrity &amp; Information Security</t>
  </si>
  <si>
    <t>Mark Hayman</t>
  </si>
  <si>
    <t>9089 6726</t>
  </si>
  <si>
    <t>Senior Executive</t>
  </si>
  <si>
    <t>Alex Li</t>
  </si>
  <si>
    <t>9168 9360</t>
  </si>
  <si>
    <t>6208 4656</t>
  </si>
  <si>
    <t>X-Bet Executive</t>
  </si>
  <si>
    <t>Ryan Chan</t>
  </si>
  <si>
    <t>6973 6636</t>
  </si>
  <si>
    <t>Duty Doctor - Dr Johnson Chu</t>
  </si>
  <si>
    <t>6232 2021 / 2966 8777</t>
  </si>
  <si>
    <t>Duty Officials</t>
  </si>
  <si>
    <t>Division / Department</t>
  </si>
  <si>
    <t>CORPORATE AFFAIRS</t>
  </si>
  <si>
    <t>WAGERING PRODUCTS</t>
  </si>
  <si>
    <t>BOCC</t>
  </si>
  <si>
    <t>BOCC Local</t>
  </si>
  <si>
    <t>BOCC Commingling / Simulcast</t>
  </si>
  <si>
    <t>BOCC BIM</t>
  </si>
  <si>
    <t>Physical Channel Operations Control</t>
  </si>
  <si>
    <t>Customer Care (Hotline)</t>
  </si>
  <si>
    <t>RACING</t>
  </si>
  <si>
    <t>Security Control Room</t>
  </si>
  <si>
    <t>FINANCE</t>
  </si>
  <si>
    <t>Distribution - List R</t>
  </si>
  <si>
    <t>* Stationed Off-Site</t>
  </si>
  <si>
    <t>Name</t>
  </si>
  <si>
    <t>Betting Control &amp; Customer Operations</t>
  </si>
  <si>
    <t>Betting Account Administration</t>
  </si>
  <si>
    <t>Membership Services</t>
  </si>
  <si>
    <t>Winfried Engelbrecht-Bresges</t>
  </si>
  <si>
    <t>Johnson Chu</t>
  </si>
  <si>
    <t>Winnie Tong</t>
  </si>
  <si>
    <t>Larry Yeung</t>
  </si>
  <si>
    <t>9467 9596</t>
  </si>
  <si>
    <t>Sally Tse</t>
  </si>
  <si>
    <t>9836 9564</t>
  </si>
  <si>
    <t>Raymond Tse</t>
  </si>
  <si>
    <t>8244 / 9090 6418</t>
  </si>
  <si>
    <t>Douglas Lee</t>
  </si>
  <si>
    <t>8244 / 9726 7847</t>
  </si>
  <si>
    <t>LK Low</t>
  </si>
  <si>
    <t>7299 / 5968 8283</t>
  </si>
  <si>
    <t>Angelina Yeung</t>
  </si>
  <si>
    <t>8244 / 9577 8567</t>
  </si>
  <si>
    <t>Jeff Ho</t>
  </si>
  <si>
    <t>8513 / 9838 8335</t>
  </si>
  <si>
    <t>Melanie Ng</t>
  </si>
  <si>
    <t>6317 / 9705 1318</t>
  </si>
  <si>
    <t>Alan Tsang</t>
  </si>
  <si>
    <t>3690 3610 / 9126 6229</t>
  </si>
  <si>
    <t>Eric Tang</t>
  </si>
  <si>
    <t>0688 / 6086 1519</t>
  </si>
  <si>
    <t>Victor Lee</t>
  </si>
  <si>
    <t>6135 0201</t>
  </si>
  <si>
    <t>Nick Ng</t>
  </si>
  <si>
    <t>9720 5752</t>
  </si>
  <si>
    <t>Ryan Wong</t>
  </si>
  <si>
    <t>9732 3199</t>
  </si>
  <si>
    <t>Peggy Chan</t>
  </si>
  <si>
    <t>9786 8154</t>
  </si>
  <si>
    <t>Kit Chong</t>
  </si>
  <si>
    <t>9053 3343 / 3690 3645</t>
  </si>
  <si>
    <t>Stephen Cheung</t>
  </si>
  <si>
    <t>6502 0020</t>
  </si>
  <si>
    <t>Jojo Lee</t>
  </si>
  <si>
    <t>8666 / 9402 5885</t>
  </si>
  <si>
    <t>Olivia Sze</t>
  </si>
  <si>
    <t>9228 7149</t>
  </si>
  <si>
    <t>Iris Hui</t>
  </si>
  <si>
    <t>6391 7758</t>
  </si>
  <si>
    <t>Christy Tang</t>
  </si>
  <si>
    <t>6089 3650</t>
  </si>
  <si>
    <t>Onson Poon</t>
  </si>
  <si>
    <t>6298 6205</t>
  </si>
  <si>
    <t>Mei Chi</t>
  </si>
  <si>
    <t>9173 4368</t>
  </si>
  <si>
    <t>Dennis Fan</t>
  </si>
  <si>
    <t>5322 7886</t>
  </si>
  <si>
    <t>Ken Chung</t>
  </si>
  <si>
    <t>5727 0183</t>
  </si>
  <si>
    <t>Frankie Leung</t>
  </si>
  <si>
    <t>9717 7013</t>
  </si>
  <si>
    <t>Kevin Fung</t>
  </si>
  <si>
    <t>6170 6175</t>
  </si>
  <si>
    <t>Vicky Yau</t>
  </si>
  <si>
    <t>9734 1042</t>
  </si>
  <si>
    <t>Wallace Wong</t>
  </si>
  <si>
    <t>5616 3423</t>
  </si>
  <si>
    <t>Victor See</t>
  </si>
  <si>
    <t>7111 / 9815 7288</t>
  </si>
  <si>
    <t>Vivian Shiao</t>
  </si>
  <si>
    <t>7504 / 5108 9830</t>
  </si>
  <si>
    <t>Alsa Yeung</t>
  </si>
  <si>
    <t>9822 6026</t>
  </si>
  <si>
    <t>Gilbert Kwok</t>
  </si>
  <si>
    <t>9885 5548</t>
  </si>
  <si>
    <t>Stephen Ho</t>
  </si>
  <si>
    <t>6825 1605</t>
  </si>
  <si>
    <t>Raymond Yeung</t>
  </si>
  <si>
    <t>6415 7829</t>
  </si>
  <si>
    <t>David Chan</t>
  </si>
  <si>
    <t>9864 1491</t>
  </si>
  <si>
    <t>Kelvin Chu</t>
  </si>
  <si>
    <t>9386 8060</t>
  </si>
  <si>
    <t>Martin Kibble</t>
  </si>
  <si>
    <t>9496 3721</t>
  </si>
  <si>
    <t>M K Ko</t>
  </si>
  <si>
    <t>7999</t>
  </si>
  <si>
    <t>Thomas Crowther</t>
  </si>
  <si>
    <t>6177 / 9228 2474</t>
  </si>
  <si>
    <t>Susanna Wong</t>
  </si>
  <si>
    <t>7968 / 9220 6517</t>
  </si>
  <si>
    <t>Denise Chan</t>
  </si>
  <si>
    <t>9582 8878</t>
  </si>
  <si>
    <t>Jerry Lam</t>
  </si>
  <si>
    <t>6709 6096</t>
  </si>
  <si>
    <t>Man Wan</t>
  </si>
  <si>
    <t>9284 3614</t>
  </si>
  <si>
    <t>2966 1000</t>
  </si>
  <si>
    <t>BIM / BOCC</t>
  </si>
  <si>
    <t>CUSTOMER STRATEGY, INSIGHTS &amp; INNOVATION</t>
  </si>
  <si>
    <t>MEMBERSHIP, BRAND, MARKETING &amp; EXPERIENCE</t>
  </si>
  <si>
    <t>PROPERTY</t>
  </si>
  <si>
    <t>AUDIT</t>
  </si>
  <si>
    <t>HUMAN RESOURCES</t>
  </si>
  <si>
    <t>- 7999</t>
  </si>
  <si>
    <t>- 7888</t>
  </si>
  <si>
    <t>SECURITY, INTEGRITY &amp; INFORMATION SECURITY</t>
  </si>
  <si>
    <t>(Fault Report)</t>
  </si>
  <si>
    <t>INFORMATION TECHNOLOGY RDE</t>
  </si>
  <si>
    <t>Department</t>
  </si>
  <si>
    <t>Phone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</si>
</sst>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Calibri"/>
      <family val="2"/>
      <scheme val="minor"/>
    </font>
    <font>
      <b/>
      <sz val="10"/>
      <name val="Times New Roman"/>
      <family val="1"/>
    </font>
    <font>
      <b/>
      <u/>
      <sz val="10"/>
      <name val="Times New Roman"/>
      <family val="1"/>
    </font>
    <font>
      <b/>
      <u/>
      <sz val="18"/>
      <name val="Times New Roman"/>
      <family val="1"/>
    </font>
    <font>
      <sz val="11"/>
      <name val="Calibri"/>
      <family val="2"/>
      <scheme val="minor"/>
    </font>
    <font>
      <b/>
      <i/>
      <sz val="10"/>
      <name val="Times New Roman"/>
      <family val="1"/>
    </font>
    <font>
      <b/>
      <sz val="11"/>
      <color theme="1"/>
      <name val="Calibri"/>
      <family val="2"/>
      <scheme val="minor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b/>
      <i/>
      <sz val="14"/>
      <name val="Calibri"/>
      <family val="2"/>
      <scheme val="minor"/>
    </font>
    <font>
      <b/>
      <u/>
      <sz val="10"/>
      <name val="Aptos Narrow"/>
      <family val="2"/>
    </font>
    <font>
      <b/>
      <sz val="10"/>
      <name val="Aptos Narrow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rgb="FF8DB4E2"/>
        <bgColor rgb="FF000000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1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4" fillId="0" borderId="0" xfId="0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1"/>
    </xf>
    <xf numFmtId="0" fontId="1" fillId="0" borderId="0" xfId="0" applyFont="1" applyAlignment="1">
      <alignment horizontal="left" vertical="center" indent="2"/>
    </xf>
    <xf numFmtId="49" fontId="1" fillId="0" borderId="12" xfId="0" applyNumberFormat="1" applyFont="1" applyBorder="1" applyAlignment="1">
      <alignment horizontal="left" vertical="center" indent="1"/>
    </xf>
    <xf numFmtId="49" fontId="1" fillId="0" borderId="0" xfId="0" applyNumberFormat="1" applyFont="1" applyBorder="1" applyAlignment="1">
      <alignment horizontal="right" vertical="center" indent="1"/>
    </xf>
    <xf numFmtId="49" fontId="1" fillId="0" borderId="13" xfId="0" applyNumberFormat="1" applyFont="1" applyBorder="1" applyAlignment="1">
      <alignment horizontal="right" vertical="center" indent="1"/>
    </xf>
    <xf numFmtId="49" fontId="0" fillId="0" borderId="0" xfId="0" applyNumberFormat="1"/>
    <xf numFmtId="49" fontId="6" fillId="0" borderId="0" xfId="0" applyNumberFormat="1" applyFont="1"/>
    <xf numFmtId="0" fontId="1" fillId="0" borderId="0" xfId="0" applyNumberFormat="1" applyFont="1" applyBorder="1" applyAlignment="1">
      <alignment horizontal="center" vertical="center"/>
    </xf>
    <xf numFmtId="0" fontId="1" fillId="0" borderId="10" xfId="0" applyNumberFormat="1" applyFont="1" applyBorder="1" applyAlignment="1">
      <alignment horizontal="center" vertical="center"/>
    </xf>
    <xf numFmtId="0" fontId="1" fillId="0" borderId="11" xfId="0" applyNumberFormat="1" applyFont="1" applyBorder="1" applyAlignment="1">
      <alignment horizontal="center" vertical="center"/>
    </xf>
    <xf numFmtId="0" fontId="1" fillId="0" borderId="0" xfId="0" applyNumberFormat="1" applyFont="1" applyAlignment="1">
      <alignment horizontal="left" vertical="center" indent="1"/>
    </xf>
    <xf numFmtId="0" fontId="1" fillId="0" borderId="0" xfId="0" applyNumberFormat="1" applyFont="1" applyBorder="1" applyAlignment="1">
      <alignment horizontal="right" vertical="center" indent="1"/>
    </xf>
    <xf numFmtId="0" fontId="1" fillId="0" borderId="12" xfId="0" applyNumberFormat="1" applyFont="1" applyBorder="1" applyAlignment="1">
      <alignment horizontal="left" vertical="center" indent="1"/>
    </xf>
    <xf numFmtId="0" fontId="1" fillId="0" borderId="13" xfId="0" applyNumberFormat="1" applyFont="1" applyBorder="1" applyAlignment="1">
      <alignment horizontal="right" vertical="center" indent="1"/>
    </xf>
    <xf numFmtId="0" fontId="1" fillId="0" borderId="14" xfId="0" applyNumberFormat="1" applyFont="1" applyBorder="1" applyAlignment="1">
      <alignment horizontal="left" vertical="center" indent="1"/>
    </xf>
    <xf numFmtId="0" fontId="1" fillId="0" borderId="16" xfId="0" applyNumberFormat="1" applyFont="1" applyBorder="1" applyAlignment="1">
      <alignment horizontal="right" vertical="center" indent="1"/>
    </xf>
    <xf numFmtId="0" fontId="1" fillId="0" borderId="15" xfId="0" applyNumberFormat="1" applyFont="1" applyBorder="1" applyAlignment="1">
      <alignment horizontal="right" vertical="center" indent="1"/>
    </xf>
    <xf numFmtId="0" fontId="1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 indent="1"/>
    </xf>
    <xf numFmtId="0" fontId="7" fillId="0" borderId="0" xfId="0" applyFont="1" applyAlignment="1">
      <alignment horizontal="right" vertical="center" indent="1"/>
    </xf>
    <xf numFmtId="0" fontId="8" fillId="0" borderId="0" xfId="0" applyFont="1" applyAlignment="1">
      <alignment horizontal="right" vertical="center" indent="1"/>
    </xf>
    <xf numFmtId="0" fontId="12" fillId="0" borderId="0" xfId="0" applyFont="1" applyAlignment="1">
      <alignment horizontal="left" vertical="center"/>
    </xf>
    <xf numFmtId="0" fontId="11" fillId="0" borderId="4" xfId="0" applyFont="1" applyFill="1" applyBorder="1" applyAlignment="1" applyProtection="1">
      <alignment horizontal="left" vertical="center"/>
    </xf>
    <xf numFmtId="0" fontId="11" fillId="0" borderId="5" xfId="0" applyFont="1" applyFill="1" applyBorder="1" applyAlignment="1" applyProtection="1">
      <alignment horizontal="left" vertical="center"/>
    </xf>
    <xf numFmtId="0" fontId="11" fillId="0" borderId="20" xfId="0" applyFont="1" applyFill="1" applyBorder="1" applyAlignment="1" applyProtection="1">
      <alignment horizontal="center" vertical="center"/>
    </xf>
    <xf numFmtId="0" fontId="11" fillId="0" borderId="21" xfId="0" applyFont="1" applyFill="1" applyBorder="1" applyAlignment="1" applyProtection="1">
      <alignment horizontal="center" vertical="center"/>
    </xf>
    <xf numFmtId="0" fontId="11" fillId="0" borderId="7" xfId="0" applyFont="1" applyFill="1" applyBorder="1" applyAlignment="1" applyProtection="1">
      <alignment horizontal="left" vertical="center"/>
    </xf>
    <xf numFmtId="0" fontId="11" fillId="0" borderId="22" xfId="0" applyFont="1" applyFill="1" applyBorder="1" applyAlignment="1" applyProtection="1">
      <alignment horizontal="center" vertical="center"/>
    </xf>
    <xf numFmtId="0" fontId="13" fillId="0" borderId="0" xfId="0" applyFont="1" applyAlignment="1" applyProtection="1">
      <alignment horizontal="left" vertical="center"/>
    </xf>
    <xf numFmtId="0" fontId="13" fillId="2" borderId="0" xfId="0" applyFont="1" applyFill="1" applyAlignment="1" applyProtection="1">
      <alignment horizontal="left" vertical="center"/>
    </xf>
    <xf numFmtId="0" fontId="13" fillId="3" borderId="0" xfId="0" applyFont="1" applyFill="1" applyAlignment="1" applyProtection="1">
      <alignment horizontal="left" vertical="center"/>
    </xf>
    <xf numFmtId="0" fontId="11" fillId="0" borderId="1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left" vertical="center"/>
    </xf>
    <xf numFmtId="0" fontId="11" fillId="0" borderId="23" xfId="0" applyFont="1" applyFill="1" applyBorder="1" applyAlignment="1" applyProtection="1">
      <alignment horizontal="left" vertical="center"/>
    </xf>
    <xf numFmtId="0" fontId="11" fillId="0" borderId="24" xfId="0" applyFont="1" applyFill="1" applyBorder="1" applyAlignment="1" applyProtection="1">
      <alignment horizontal="left" vertical="center"/>
    </xf>
    <xf numFmtId="0" fontId="11" fillId="0" borderId="25" xfId="0" applyFont="1" applyFill="1" applyBorder="1" applyAlignment="1" applyProtection="1">
      <alignment horizontal="left" vertical="center"/>
    </xf>
    <xf numFmtId="0" fontId="11" fillId="0" borderId="7" xfId="0" applyFont="1" applyFill="1" applyBorder="1" applyAlignment="1" applyProtection="1">
      <alignment horizontal="center" vertical="center"/>
    </xf>
    <xf numFmtId="0" fontId="11" fillId="0" borderId="8" xfId="0" applyFont="1" applyFill="1" applyBorder="1" applyAlignment="1" applyProtection="1">
      <alignment horizontal="center" vertical="center"/>
    </xf>
    <xf numFmtId="0" fontId="11" fillId="0" borderId="1" xfId="0" applyFont="1" applyFill="1" applyBorder="1" applyAlignment="1" applyProtection="1">
      <alignment horizontal="center" vertical="center"/>
    </xf>
    <xf numFmtId="0" fontId="10" fillId="0" borderId="2" xfId="0" applyFont="1" applyFill="1" applyBorder="1" applyAlignment="1" applyProtection="1">
      <alignment horizontal="left" vertical="center"/>
    </xf>
    <xf numFmtId="0" fontId="10" fillId="0" borderId="3" xfId="0" applyFont="1" applyFill="1" applyBorder="1" applyAlignment="1" applyProtection="1">
      <alignment horizontal="left" vertical="center"/>
    </xf>
    <xf numFmtId="0" fontId="11" fillId="0" borderId="2" xfId="0" applyFont="1" applyFill="1" applyBorder="1" applyAlignment="1" applyProtection="1">
      <alignment horizontal="left" vertical="center"/>
    </xf>
    <xf numFmtId="0" fontId="11" fillId="0" borderId="4" xfId="0" applyFont="1" applyFill="1" applyBorder="1" applyAlignment="1" applyProtection="1">
      <alignment horizontal="left" vertical="center"/>
    </xf>
    <xf numFmtId="0" fontId="11" fillId="0" borderId="6" xfId="0" applyFont="1" applyFill="1" applyBorder="1" applyAlignment="1" applyProtection="1">
      <alignment horizontal="left" vertical="center"/>
    </xf>
    <xf numFmtId="0" fontId="1" fillId="0" borderId="14" xfId="0" applyFont="1" applyBorder="1" applyAlignment="1">
      <alignment horizontal="left" vertical="center" indent="1"/>
    </xf>
    <xf numFmtId="0" fontId="1" fillId="0" borderId="15" xfId="0" applyFont="1" applyBorder="1" applyAlignment="1">
      <alignment horizontal="left" vertical="center" indent="1"/>
    </xf>
    <xf numFmtId="0" fontId="1" fillId="0" borderId="10" xfId="0" applyFont="1" applyBorder="1" applyAlignment="1">
      <alignment horizontal="left" vertical="center" indent="1"/>
    </xf>
    <xf numFmtId="0" fontId="1" fillId="0" borderId="11" xfId="0" applyFont="1" applyBorder="1" applyAlignment="1">
      <alignment horizontal="left" vertical="center" indent="1"/>
    </xf>
    <xf numFmtId="0" fontId="1" fillId="0" borderId="12" xfId="0" applyFont="1" applyBorder="1" applyAlignment="1">
      <alignment horizontal="left" vertical="center" indent="2"/>
    </xf>
    <xf numFmtId="0" fontId="1" fillId="0" borderId="13" xfId="0" applyFont="1" applyBorder="1" applyAlignment="1">
      <alignment horizontal="left" vertical="center" indent="2"/>
    </xf>
    <xf numFmtId="0" fontId="1" fillId="0" borderId="12" xfId="0" applyFont="1" applyBorder="1" applyAlignment="1">
      <alignment horizontal="left" vertical="center" indent="1"/>
    </xf>
    <xf numFmtId="0" fontId="1" fillId="0" borderId="13" xfId="0" applyFont="1" applyBorder="1" applyAlignment="1">
      <alignment horizontal="left" vertical="center" indent="1"/>
    </xf>
    <xf numFmtId="0" fontId="2" fillId="0" borderId="12" xfId="0" applyFont="1" applyBorder="1" applyAlignment="1">
      <alignment horizontal="left" vertical="center" indent="2"/>
    </xf>
    <xf numFmtId="0" fontId="2" fillId="0" borderId="13" xfId="0" applyFont="1" applyBorder="1" applyAlignment="1">
      <alignment horizontal="left" vertical="center" indent="2"/>
    </xf>
    <xf numFmtId="0" fontId="2" fillId="0" borderId="13" xfId="0" applyFont="1" applyBorder="1" applyAlignment="1">
      <alignment horizontal="left" vertical="center" indent="1"/>
    </xf>
    <xf numFmtId="0" fontId="9" fillId="0" borderId="9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</cellXfs>
  <cellStyles count="1">
    <cellStyle name="Normal" xfId="0" builtinId="0"/>
  </cellStyles>
  <dxfs count="4">
    <dxf>
      <font>
        <color theme="0"/>
      </font>
    </dxf>
    <dxf>
      <font>
        <color rgb="FF0070C0"/>
      </font>
      <fill>
        <patternFill>
          <bgColor rgb="FFFDE9D9"/>
        </patternFill>
      </fill>
    </dxf>
    <dxf>
      <fill>
        <patternFill>
          <bgColor rgb="FFFFFF00"/>
        </patternFill>
      </fill>
    </dxf>
    <dxf>
      <fill>
        <patternFill>
          <bgColor rgb="FF8DB4E2"/>
        </patternFill>
      </fill>
    </dxf>
  </dxfs>
  <tableStyles count="0" defaultTableStyle="TableStyleMedium2" defaultPivotStyle="PivotStyleLight16"/>
  <colors>
    <mruColors>
      <color rgb="FF0070C0"/>
      <color rgb="FFFDE9D9"/>
      <color rgb="FF8DB4E2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connections" Target="connection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/Relationships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21</v>
    <v>8</v>
    <v>0</v>
    <v>1</v>
  </rv>
  <rv s="1">
    <v>8</v>
    <v>1</v>
  </rv>
</rvData>
</file>

<file path=xl/richData/rdrichvaluestructure.xml><?xml version="1.0" encoding="utf-8"?>
<rvStructures xmlns="http://schemas.microsoft.com/office/spreadsheetml/2017/richdata" count="2">
  <s t="_error">
    <k n="colOffset" t="i"/>
    <k n="errorType" t="i"/>
    <k n="rwOffset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1CCBC-4625-4A66-868A-06B97F2BE593}">
  <dimension ref="A1:C71"/>
  <sheetViews>
    <sheetView workbookViewId="0"/>
  </sheetViews>
  <sheetFormatPr defaultRowHeight="15"/>
  <cols>
    <col min="1" max="1" width="38.42578125" style="13" bestFit="1" customWidth="1"/>
    <col min="2" max="2" width="28" style="13" bestFit="1" customWidth="1"/>
    <col min="3" max="3" width="19.85546875" style="13" bestFit="1" customWidth="1"/>
    <col min="4" max="16384" width="9.140625" style="13"/>
  </cols>
  <sheetData>
    <row r="1" spans="1:3">
      <c r="A1" s="14" t="s">
        <v>218</v>
      </c>
      <c r="B1" s="14" t="s">
        <v>113</v>
      </c>
      <c r="C1" s="14" t="s">
        <v>219</v>
      </c>
    </row>
    <row r="2" spans="1:3">
      <c r="A2" s="13" t="s">
        <v>115</v>
      </c>
      <c r="B2" s="13" t="s">
        <v>136</v>
      </c>
      <c r="C2" s="13" t="s">
        <v>137</v>
      </c>
    </row>
    <row r="3" spans="1:3">
      <c r="A3" s="13" t="s">
        <v>36</v>
      </c>
      <c r="B3" s="13" t="s">
        <v>90</v>
      </c>
      <c r="C3" s="13" t="s">
        <v>91</v>
      </c>
    </row>
    <row r="4" spans="1:3">
      <c r="A4" s="13" t="s">
        <v>116</v>
      </c>
      <c r="B4" s="13" t="s">
        <v>180</v>
      </c>
      <c r="C4" s="13" t="s">
        <v>181</v>
      </c>
    </row>
    <row r="5" spans="1:3">
      <c r="B5" s="13" t="s">
        <v>56</v>
      </c>
      <c r="C5" s="13" t="s">
        <v>57</v>
      </c>
    </row>
    <row r="6" spans="1:3">
      <c r="B6" s="13" t="s">
        <v>130</v>
      </c>
      <c r="C6" s="13" t="s">
        <v>131</v>
      </c>
    </row>
    <row r="7" spans="1:3">
      <c r="A7" s="13" t="s">
        <v>13</v>
      </c>
      <c r="B7" s="13" t="s">
        <v>158</v>
      </c>
      <c r="C7" s="13" t="s">
        <v>159</v>
      </c>
    </row>
    <row r="8" spans="1:3">
      <c r="A8" s="13" t="s">
        <v>29</v>
      </c>
      <c r="B8" s="13" t="s">
        <v>188</v>
      </c>
      <c r="C8" s="13" t="s">
        <v>189</v>
      </c>
    </row>
    <row r="9" spans="1:3">
      <c r="B9" s="13" t="s">
        <v>45</v>
      </c>
      <c r="C9" s="13" t="s">
        <v>46</v>
      </c>
    </row>
    <row r="10" spans="1:3">
      <c r="A10" s="13" t="s">
        <v>34</v>
      </c>
      <c r="B10" s="13" t="s">
        <v>200</v>
      </c>
      <c r="C10" s="13" t="s">
        <v>201</v>
      </c>
    </row>
    <row r="11" spans="1:3">
      <c r="B11" s="13" t="s">
        <v>164</v>
      </c>
      <c r="C11" s="13" t="s">
        <v>165</v>
      </c>
    </row>
    <row r="12" spans="1:3">
      <c r="B12" s="13" t="s">
        <v>126</v>
      </c>
      <c r="C12" s="13" t="s">
        <v>127</v>
      </c>
    </row>
    <row r="13" spans="1:3">
      <c r="B13" s="13" t="s">
        <v>74</v>
      </c>
    </row>
    <row r="14" spans="1:3">
      <c r="A14" s="13" t="s">
        <v>10</v>
      </c>
      <c r="B14" s="13" t="s">
        <v>138</v>
      </c>
      <c r="C14" s="13" t="s">
        <v>139</v>
      </c>
    </row>
    <row r="15" spans="1:3">
      <c r="A15" s="13" t="s">
        <v>36</v>
      </c>
      <c r="B15" s="13" t="s">
        <v>168</v>
      </c>
      <c r="C15" s="13" t="s">
        <v>169</v>
      </c>
    </row>
    <row r="16" spans="1:3">
      <c r="B16" s="13" t="s">
        <v>55</v>
      </c>
    </row>
    <row r="17" spans="1:3">
      <c r="A17" s="13" t="s">
        <v>6</v>
      </c>
      <c r="B17" s="13" t="s">
        <v>182</v>
      </c>
      <c r="C17" s="13" t="s">
        <v>183</v>
      </c>
    </row>
    <row r="18" spans="1:3">
      <c r="B18" s="13" t="s">
        <v>47</v>
      </c>
    </row>
    <row r="19" spans="1:3">
      <c r="B19" s="13" t="s">
        <v>156</v>
      </c>
      <c r="C19" s="13" t="s">
        <v>157</v>
      </c>
    </row>
    <row r="20" spans="1:3">
      <c r="B20" s="13" t="s">
        <v>61</v>
      </c>
    </row>
    <row r="21" spans="1:3">
      <c r="B21" s="13" t="s">
        <v>67</v>
      </c>
    </row>
    <row r="22" spans="1:3">
      <c r="A22" s="13" t="s">
        <v>114</v>
      </c>
      <c r="B22" s="13" t="s">
        <v>132</v>
      </c>
      <c r="C22" s="13" t="s">
        <v>133</v>
      </c>
    </row>
    <row r="23" spans="1:3">
      <c r="A23" s="13" t="s">
        <v>35</v>
      </c>
      <c r="B23" s="13" t="s">
        <v>202</v>
      </c>
      <c r="C23" s="13" t="s">
        <v>203</v>
      </c>
    </row>
    <row r="24" spans="1:3">
      <c r="B24" s="13" t="s">
        <v>118</v>
      </c>
      <c r="C24" s="13" t="s">
        <v>97</v>
      </c>
    </row>
    <row r="25" spans="1:3">
      <c r="A25" s="13" t="s">
        <v>2</v>
      </c>
      <c r="B25" s="13" t="s">
        <v>152</v>
      </c>
      <c r="C25" s="13" t="s">
        <v>153</v>
      </c>
    </row>
    <row r="26" spans="1:3">
      <c r="B26" s="13" t="s">
        <v>58</v>
      </c>
    </row>
    <row r="27" spans="1:3">
      <c r="A27" s="13" t="s">
        <v>29</v>
      </c>
      <c r="B27" s="13" t="s">
        <v>190</v>
      </c>
      <c r="C27" s="13" t="s">
        <v>191</v>
      </c>
    </row>
    <row r="28" spans="1:3">
      <c r="A28" s="13" t="s">
        <v>13</v>
      </c>
      <c r="B28" s="13" t="s">
        <v>166</v>
      </c>
      <c r="C28" s="13" t="s">
        <v>167</v>
      </c>
    </row>
    <row r="29" spans="1:3">
      <c r="A29" s="13" t="s">
        <v>71</v>
      </c>
      <c r="B29" s="13" t="s">
        <v>170</v>
      </c>
      <c r="C29" s="13" t="s">
        <v>171</v>
      </c>
    </row>
    <row r="30" spans="1:3">
      <c r="A30" s="13" t="s">
        <v>107</v>
      </c>
      <c r="B30" s="13" t="s">
        <v>148</v>
      </c>
      <c r="C30" s="13" t="s">
        <v>149</v>
      </c>
    </row>
    <row r="31" spans="1:3">
      <c r="A31" s="13" t="s">
        <v>2</v>
      </c>
      <c r="B31" s="13" t="s">
        <v>120</v>
      </c>
      <c r="C31" s="13" t="s">
        <v>121</v>
      </c>
    </row>
    <row r="32" spans="1:3">
      <c r="B32" s="13" t="s">
        <v>128</v>
      </c>
      <c r="C32" s="13" t="s">
        <v>129</v>
      </c>
    </row>
    <row r="33" spans="1:3">
      <c r="A33" s="13" t="s">
        <v>86</v>
      </c>
      <c r="B33" s="13" t="s">
        <v>194</v>
      </c>
      <c r="C33" s="13" t="s">
        <v>195</v>
      </c>
    </row>
    <row r="34" spans="1:3">
      <c r="B34" s="13" t="s">
        <v>50</v>
      </c>
    </row>
    <row r="35" spans="1:3">
      <c r="A35" s="13" t="s">
        <v>13</v>
      </c>
      <c r="B35" s="13" t="s">
        <v>68</v>
      </c>
      <c r="C35" s="13" t="s">
        <v>69</v>
      </c>
    </row>
    <row r="36" spans="1:3">
      <c r="A36" s="13" t="s">
        <v>12</v>
      </c>
      <c r="B36" s="13" t="s">
        <v>204</v>
      </c>
      <c r="C36" s="13" t="s">
        <v>205</v>
      </c>
    </row>
    <row r="37" spans="1:3">
      <c r="A37" s="13" t="s">
        <v>86</v>
      </c>
      <c r="B37" s="13" t="s">
        <v>87</v>
      </c>
      <c r="C37" s="13" t="s">
        <v>88</v>
      </c>
    </row>
    <row r="38" spans="1:3">
      <c r="A38" s="13" t="s">
        <v>86</v>
      </c>
      <c r="B38" s="13" t="s">
        <v>192</v>
      </c>
      <c r="C38" s="13" t="s">
        <v>193</v>
      </c>
    </row>
    <row r="39" spans="1:3">
      <c r="B39" s="13" t="s">
        <v>85</v>
      </c>
    </row>
    <row r="40" spans="1:3">
      <c r="A40" s="13" t="s">
        <v>13</v>
      </c>
      <c r="B40" s="13" t="s">
        <v>162</v>
      </c>
      <c r="C40" s="13" t="s">
        <v>163</v>
      </c>
    </row>
    <row r="41" spans="1:3">
      <c r="A41" s="13" t="s">
        <v>114</v>
      </c>
      <c r="B41" s="13" t="s">
        <v>134</v>
      </c>
      <c r="C41" s="13" t="s">
        <v>135</v>
      </c>
    </row>
    <row r="42" spans="1:3">
      <c r="A42" s="13" t="s">
        <v>65</v>
      </c>
      <c r="B42" s="13" t="s">
        <v>142</v>
      </c>
      <c r="C42" s="13" t="s">
        <v>143</v>
      </c>
    </row>
    <row r="43" spans="1:3">
      <c r="A43" s="13" t="s">
        <v>13</v>
      </c>
      <c r="B43" s="13" t="s">
        <v>154</v>
      </c>
      <c r="C43" s="13" t="s">
        <v>155</v>
      </c>
    </row>
    <row r="44" spans="1:3">
      <c r="B44" s="13" t="s">
        <v>160</v>
      </c>
      <c r="C44" s="13" t="s">
        <v>161</v>
      </c>
    </row>
    <row r="45" spans="1:3">
      <c r="A45" s="13" t="s">
        <v>12</v>
      </c>
      <c r="B45" s="13" t="s">
        <v>62</v>
      </c>
      <c r="C45" s="13" t="s">
        <v>63</v>
      </c>
    </row>
    <row r="46" spans="1:3">
      <c r="A46" s="13" t="s">
        <v>65</v>
      </c>
      <c r="B46" s="13" t="s">
        <v>146</v>
      </c>
      <c r="C46" s="13" t="s">
        <v>147</v>
      </c>
    </row>
    <row r="47" spans="1:3">
      <c r="B47" s="13" t="s">
        <v>48</v>
      </c>
    </row>
    <row r="48" spans="1:3">
      <c r="A48" s="13" t="s">
        <v>2</v>
      </c>
      <c r="B48" s="13" t="s">
        <v>80</v>
      </c>
      <c r="C48" s="13" t="s">
        <v>81</v>
      </c>
    </row>
    <row r="49" spans="1:3">
      <c r="A49" s="13" t="s">
        <v>29</v>
      </c>
      <c r="B49" s="13" t="s">
        <v>77</v>
      </c>
      <c r="C49" s="13" t="s">
        <v>78</v>
      </c>
    </row>
    <row r="50" spans="1:3">
      <c r="B50" s="13" t="s">
        <v>124</v>
      </c>
      <c r="C50" s="13" t="s">
        <v>125</v>
      </c>
    </row>
    <row r="51" spans="1:3">
      <c r="A51" s="13" t="s">
        <v>29</v>
      </c>
      <c r="B51" s="13" t="s">
        <v>186</v>
      </c>
      <c r="C51" s="13" t="s">
        <v>187</v>
      </c>
    </row>
    <row r="52" spans="1:3">
      <c r="A52" s="13" t="s">
        <v>37</v>
      </c>
      <c r="B52" s="13" t="s">
        <v>94</v>
      </c>
      <c r="C52" s="13" t="s">
        <v>95</v>
      </c>
    </row>
    <row r="53" spans="1:3">
      <c r="A53" s="13" t="s">
        <v>65</v>
      </c>
      <c r="B53" s="13" t="s">
        <v>144</v>
      </c>
      <c r="C53" s="13" t="s">
        <v>145</v>
      </c>
    </row>
    <row r="54" spans="1:3">
      <c r="A54" s="13" t="s">
        <v>37</v>
      </c>
      <c r="B54" s="13" t="s">
        <v>122</v>
      </c>
      <c r="C54" s="13" t="s">
        <v>123</v>
      </c>
    </row>
    <row r="55" spans="1:3">
      <c r="A55" s="13" t="s">
        <v>18</v>
      </c>
      <c r="B55" s="13" t="s">
        <v>83</v>
      </c>
      <c r="C55" s="13" t="s">
        <v>84</v>
      </c>
    </row>
    <row r="56" spans="1:3">
      <c r="A56" s="13" t="s">
        <v>65</v>
      </c>
      <c r="B56" s="13" t="s">
        <v>150</v>
      </c>
      <c r="C56" s="13" t="s">
        <v>151</v>
      </c>
    </row>
    <row r="57" spans="1:3">
      <c r="A57" s="13" t="s">
        <v>29</v>
      </c>
      <c r="B57" s="13" t="s">
        <v>184</v>
      </c>
      <c r="C57" s="13" t="s">
        <v>185</v>
      </c>
    </row>
    <row r="58" spans="1:3">
      <c r="A58" s="13" t="s">
        <v>71</v>
      </c>
      <c r="B58" s="13" t="s">
        <v>72</v>
      </c>
      <c r="C58" s="13" t="s">
        <v>73</v>
      </c>
    </row>
    <row r="59" spans="1:3">
      <c r="A59" s="13" t="s">
        <v>32</v>
      </c>
      <c r="B59" s="13" t="s">
        <v>198</v>
      </c>
      <c r="C59" s="13" t="s">
        <v>199</v>
      </c>
    </row>
    <row r="60" spans="1:3">
      <c r="B60" s="13" t="s">
        <v>54</v>
      </c>
    </row>
    <row r="61" spans="1:3">
      <c r="B61" s="13" t="s">
        <v>70</v>
      </c>
    </row>
    <row r="62" spans="1:3">
      <c r="A62" s="13" t="s">
        <v>32</v>
      </c>
      <c r="B62" s="13" t="s">
        <v>196</v>
      </c>
      <c r="C62" s="13" t="s">
        <v>197</v>
      </c>
    </row>
    <row r="63" spans="1:3">
      <c r="A63" s="13" t="s">
        <v>116</v>
      </c>
      <c r="B63" s="13" t="s">
        <v>172</v>
      </c>
      <c r="C63" s="13" t="s">
        <v>173</v>
      </c>
    </row>
    <row r="64" spans="1:3">
      <c r="A64" s="13" t="s">
        <v>65</v>
      </c>
      <c r="B64" s="13" t="s">
        <v>140</v>
      </c>
      <c r="C64" s="13" t="s">
        <v>141</v>
      </c>
    </row>
    <row r="65" spans="1:3">
      <c r="A65" s="13" t="s">
        <v>116</v>
      </c>
      <c r="B65" s="13" t="s">
        <v>176</v>
      </c>
      <c r="C65" s="13" t="s">
        <v>177</v>
      </c>
    </row>
    <row r="66" spans="1:3">
      <c r="A66" s="13" t="s">
        <v>116</v>
      </c>
      <c r="B66" s="13" t="s">
        <v>178</v>
      </c>
      <c r="C66" s="13" t="s">
        <v>179</v>
      </c>
    </row>
    <row r="67" spans="1:3">
      <c r="B67" s="13" t="s">
        <v>174</v>
      </c>
      <c r="C67" s="13" t="s">
        <v>175</v>
      </c>
    </row>
    <row r="68" spans="1:3">
      <c r="A68" s="13" t="s">
        <v>11</v>
      </c>
      <c r="B68" s="13" t="s">
        <v>59</v>
      </c>
      <c r="C68" s="13" t="s">
        <v>60</v>
      </c>
    </row>
    <row r="69" spans="1:3">
      <c r="B69" s="13" t="s">
        <v>117</v>
      </c>
      <c r="C69" s="13" t="s">
        <v>92</v>
      </c>
    </row>
    <row r="70" spans="1:3">
      <c r="A70" s="13" t="s">
        <v>65</v>
      </c>
      <c r="B70" s="13" t="s">
        <v>119</v>
      </c>
      <c r="C70" s="13" t="s">
        <v>66</v>
      </c>
    </row>
    <row r="71" spans="1:3">
      <c r="A71" s="13" t="s">
        <v>116</v>
      </c>
      <c r="B71" s="13" t="s">
        <v>75</v>
      </c>
      <c r="C71" s="13" t="s">
        <v>76</v>
      </c>
    </row>
  </sheetData>
  <autoFilter ref="A1:C1" xr:uid="{3571CCBC-4625-4A66-868A-06B97F2BE593}">
    <sortState xmlns:xlrd2="http://schemas.microsoft.com/office/spreadsheetml/2017/richdata2" ref="A2:C71">
      <sortCondition ref="B1"/>
    </sortState>
  </autoFilter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showInputMessage="1" showErrorMessage="1" xr:uid="{0A9FED2D-AEA9-42A2-B9E4-489B9ABE580C}">
          <x14:formula1>
            <xm:f>Roster!$A$3:$A$48</xm:f>
          </x14:formula1>
          <xm:sqref>A2:A1048576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DB1BF-8426-4A2E-B341-9A2CE182DFBE}">
  <sheetPr codeName="Sheet1"/>
  <dimension ref="A1:V57"/>
  <sheetViews>
    <sheetView tabSelected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sqref="A1:B1"/>
    </sheetView>
  </sheetViews>
  <sheetFormatPr defaultRowHeight="12.75"/>
  <cols>
    <col min="1" max="1" width="40.28515625" style="29" bestFit="1" customWidth="1"/>
    <col min="2" max="2" width="40.5703125" style="29" bestFit="1" customWidth="1"/>
    <col min="3" max="3" width="11.140625" style="29" bestFit="1" customWidth="1"/>
    <col min="4" max="4" width="12.85546875" style="29" bestFit="1" customWidth="1"/>
    <col min="5" max="5" width="11.140625" style="29" bestFit="1" customWidth="1"/>
    <col min="6" max="6" width="12.85546875" style="29" bestFit="1" customWidth="1"/>
    <col min="7" max="7" width="11.140625" style="29" bestFit="1" customWidth="1"/>
    <col min="8" max="8" width="12.85546875" style="29" bestFit="1" customWidth="1"/>
    <col min="9" max="9" width="11.140625" style="29" bestFit="1" customWidth="1"/>
    <col min="10" max="10" width="12.85546875" style="29" bestFit="1" customWidth="1"/>
    <col min="11" max="11" width="11.140625" style="29" bestFit="1" customWidth="1"/>
    <col min="12" max="12" width="12.85546875" style="29" bestFit="1" customWidth="1"/>
    <col min="13" max="13" width="17.28515625" style="29" bestFit="1" customWidth="1"/>
    <col min="14" max="14" width="16.28515625" style="29" bestFit="1" customWidth="1"/>
    <col min="15" max="15" width="11.140625" style="29" bestFit="1" customWidth="1"/>
    <col min="16" max="16" width="12.85546875" style="29" bestFit="1" customWidth="1"/>
    <col min="17" max="17" width="11.140625" style="29" bestFit="1" customWidth="1"/>
    <col min="18" max="18" width="12.85546875" style="29" bestFit="1" customWidth="1"/>
    <col min="19" max="19" width="11.140625" style="29" bestFit="1" customWidth="1"/>
    <col min="20" max="20" width="12.85546875" style="29" bestFit="1" customWidth="1"/>
    <col min="21" max="21" width="11.140625" style="29" bestFit="1" customWidth="1"/>
    <col min="22" max="22" width="12.85546875" style="29" bestFit="1" customWidth="1"/>
    <col min="23" max="16384" width="9.140625" style="29"/>
  </cols>
  <sheetData>
    <row r="1" spans="1:22" ht="13.5" thickBot="1">
      <c r="A1" s="47"/>
      <c r="B1" s="48"/>
      <c r="C1" s="46"/>
      <c r="D1" s="46"/>
      <c r="E1" s="44"/>
      <c r="F1" s="45"/>
      <c r="G1" s="44"/>
      <c r="H1" s="45"/>
      <c r="I1" s="44"/>
      <c r="J1" s="45"/>
      <c r="K1" s="44"/>
      <c r="L1" s="45"/>
      <c r="M1" s="46"/>
      <c r="N1" s="46"/>
      <c r="O1" s="44"/>
      <c r="P1" s="45"/>
      <c r="Q1" s="44"/>
      <c r="R1" s="45"/>
      <c r="S1" s="44"/>
      <c r="T1" s="45"/>
      <c r="U1" s="44"/>
      <c r="V1" s="45"/>
    </row>
    <row r="2" spans="1:22" ht="13.5" thickBot="1">
      <c r="A2" s="30"/>
      <c r="B2" s="31"/>
      <c r="C2" s="32" t="s">
        <v>0</v>
      </c>
      <c r="D2" s="32" t="s">
        <v>1</v>
      </c>
      <c r="E2" s="32" t="s">
        <v>0</v>
      </c>
      <c r="F2" s="32" t="s">
        <v>1</v>
      </c>
      <c r="G2" s="32" t="s">
        <v>0</v>
      </c>
      <c r="H2" s="32" t="s">
        <v>1</v>
      </c>
      <c r="I2" s="32" t="s">
        <v>0</v>
      </c>
      <c r="J2" s="32" t="s">
        <v>1</v>
      </c>
      <c r="K2" s="32" t="s">
        <v>0</v>
      </c>
      <c r="L2" s="32" t="s">
        <v>1</v>
      </c>
      <c r="M2" s="32" t="s">
        <v>0</v>
      </c>
      <c r="N2" s="32" t="s">
        <v>1</v>
      </c>
      <c r="O2" s="32" t="s">
        <v>0</v>
      </c>
      <c r="P2" s="32" t="s">
        <v>1</v>
      </c>
      <c r="Q2" s="32" t="s">
        <v>0</v>
      </c>
      <c r="R2" s="32" t="s">
        <v>1</v>
      </c>
      <c r="S2" s="32" t="s">
        <v>0</v>
      </c>
      <c r="T2" s="32" t="s">
        <v>1</v>
      </c>
      <c r="U2" s="32" t="s">
        <v>0</v>
      </c>
      <c r="V2" s="32" t="s">
        <v>1</v>
      </c>
    </row>
    <row r="3" spans="1:22">
      <c r="A3" s="49" t="s">
        <v>2</v>
      </c>
      <c r="B3" s="41" t="s">
        <v>3</v>
      </c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</row>
    <row r="4" spans="1:22">
      <c r="A4" s="50"/>
      <c r="B4" s="40" t="s">
        <v>4</v>
      </c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</row>
    <row r="5" spans="1:22" ht="13.5" thickBot="1">
      <c r="A5" s="51"/>
      <c r="B5" s="42" t="s">
        <v>5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</row>
    <row r="6" spans="1:22" ht="13.5" thickBot="1">
      <c r="A6" s="34" t="s">
        <v>6</v>
      </c>
      <c r="B6" s="43" t="s">
        <v>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</row>
    <row r="7" spans="1:22">
      <c r="A7" s="49" t="s">
        <v>114</v>
      </c>
      <c r="B7" s="41" t="s">
        <v>8</v>
      </c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</row>
    <row r="8" spans="1:22" ht="13.5" thickBot="1">
      <c r="A8" s="51"/>
      <c r="B8" s="42" t="s">
        <v>9</v>
      </c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3.5" thickBot="1">
      <c r="A9" s="34" t="s">
        <v>10</v>
      </c>
      <c r="B9" s="43" t="s">
        <v>7</v>
      </c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</row>
    <row r="10" spans="1:22" ht="13.5" thickBot="1">
      <c r="A10" s="34" t="s">
        <v>107</v>
      </c>
      <c r="B10" s="43" t="s">
        <v>7</v>
      </c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</row>
    <row r="11" spans="1:22" ht="13.5" thickBot="1">
      <c r="A11" s="34" t="s">
        <v>115</v>
      </c>
      <c r="B11" s="43" t="s">
        <v>7</v>
      </c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</row>
    <row r="12" spans="1:22">
      <c r="A12" s="49" t="s">
        <v>11</v>
      </c>
      <c r="B12" s="41" t="s">
        <v>3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</row>
    <row r="13" spans="1:22" ht="13.5" thickBot="1">
      <c r="A13" s="51"/>
      <c r="B13" s="42" t="s">
        <v>7</v>
      </c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</row>
    <row r="14" spans="1:22">
      <c r="A14" s="49" t="s">
        <v>12</v>
      </c>
      <c r="B14" s="41" t="s">
        <v>3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</row>
    <row r="15" spans="1:22" ht="13.5" thickBot="1">
      <c r="A15" s="51"/>
      <c r="B15" s="42" t="s">
        <v>7</v>
      </c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</row>
    <row r="16" spans="1:22">
      <c r="A16" s="49" t="s">
        <v>13</v>
      </c>
      <c r="B16" s="41" t="s">
        <v>3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</row>
    <row r="17" spans="1:22">
      <c r="A17" s="50"/>
      <c r="B17" s="40" t="s">
        <v>14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</row>
    <row r="18" spans="1:22">
      <c r="A18" s="50"/>
      <c r="B18" s="40" t="s">
        <v>15</v>
      </c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</row>
    <row r="19" spans="1:22">
      <c r="A19" s="50"/>
      <c r="B19" s="40" t="s">
        <v>16</v>
      </c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</row>
    <row r="20" spans="1:22" ht="13.5" thickBot="1">
      <c r="A20" s="51"/>
      <c r="B20" s="42" t="s">
        <v>17</v>
      </c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</row>
    <row r="21" spans="1:22">
      <c r="A21" s="49" t="s">
        <v>18</v>
      </c>
      <c r="B21" s="41" t="s">
        <v>3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</row>
    <row r="22" spans="1:22">
      <c r="A22" s="50"/>
      <c r="B22" s="40" t="s">
        <v>19</v>
      </c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</row>
    <row r="23" spans="1:22" ht="13.5" thickBot="1">
      <c r="A23" s="51"/>
      <c r="B23" s="42" t="s">
        <v>20</v>
      </c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</row>
    <row r="24" spans="1:22">
      <c r="A24" s="49" t="s">
        <v>65</v>
      </c>
      <c r="B24" s="41" t="s">
        <v>3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</row>
    <row r="25" spans="1:22">
      <c r="A25" s="50"/>
      <c r="B25" s="40" t="s">
        <v>21</v>
      </c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>
      <c r="A26" s="50"/>
      <c r="B26" s="40" t="s">
        <v>22</v>
      </c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</row>
    <row r="27" spans="1:22">
      <c r="A27" s="50"/>
      <c r="B27" s="40" t="s">
        <v>23</v>
      </c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</row>
    <row r="28" spans="1:22" ht="13.5" thickBot="1">
      <c r="A28" s="51"/>
      <c r="B28" s="42" t="s">
        <v>106</v>
      </c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</row>
    <row r="29" spans="1:22">
      <c r="A29" s="49" t="s">
        <v>71</v>
      </c>
      <c r="B29" s="41" t="s">
        <v>3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</row>
    <row r="30" spans="1:22" ht="13.5" thickBot="1">
      <c r="A30" s="51"/>
      <c r="B30" s="42" t="s">
        <v>7</v>
      </c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</row>
    <row r="31" spans="1:22">
      <c r="A31" s="49" t="s">
        <v>116</v>
      </c>
      <c r="B31" s="41" t="s">
        <v>3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</row>
    <row r="32" spans="1:22">
      <c r="A32" s="50"/>
      <c r="B32" s="40" t="s">
        <v>24</v>
      </c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</row>
    <row r="33" spans="1:22">
      <c r="A33" s="50"/>
      <c r="B33" s="40" t="s">
        <v>25</v>
      </c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</row>
    <row r="34" spans="1:22">
      <c r="A34" s="50"/>
      <c r="B34" s="40" t="s">
        <v>26</v>
      </c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</row>
    <row r="35" spans="1:22">
      <c r="A35" s="50"/>
      <c r="B35" s="40" t="s">
        <v>27</v>
      </c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</row>
    <row r="36" spans="1:22" ht="13.5" thickBot="1">
      <c r="A36" s="51"/>
      <c r="B36" s="42" t="s">
        <v>28</v>
      </c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</row>
    <row r="37" spans="1:22">
      <c r="A37" s="49" t="s">
        <v>29</v>
      </c>
      <c r="B37" s="41" t="s">
        <v>3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</row>
    <row r="38" spans="1:22">
      <c r="A38" s="50"/>
      <c r="B38" s="40" t="s">
        <v>30</v>
      </c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</row>
    <row r="39" spans="1:22" ht="13.5" thickBot="1">
      <c r="A39" s="51"/>
      <c r="B39" s="42" t="s">
        <v>31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</row>
    <row r="40" spans="1:22" ht="13.5" thickBot="1">
      <c r="A40" s="34" t="s">
        <v>32</v>
      </c>
      <c r="B40" s="43" t="s">
        <v>33</v>
      </c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</row>
    <row r="41" spans="1:22">
      <c r="A41" s="49" t="s">
        <v>86</v>
      </c>
      <c r="B41" s="41" t="s">
        <v>3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</row>
    <row r="42" spans="1:22" ht="13.5" thickBot="1">
      <c r="A42" s="51"/>
      <c r="B42" s="42" t="s">
        <v>7</v>
      </c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</row>
    <row r="43" spans="1:22" ht="13.5" thickBot="1">
      <c r="A43" s="34" t="s">
        <v>34</v>
      </c>
      <c r="B43" s="43" t="s">
        <v>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</row>
    <row r="44" spans="1:22" ht="13.5" thickBot="1">
      <c r="A44" s="34" t="s">
        <v>35</v>
      </c>
      <c r="B44" s="43" t="s">
        <v>7</v>
      </c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</row>
    <row r="45" spans="1:22">
      <c r="A45" s="49" t="s">
        <v>36</v>
      </c>
      <c r="B45" s="41" t="s">
        <v>3</v>
      </c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</row>
    <row r="46" spans="1:22" ht="13.5" thickBot="1">
      <c r="A46" s="51"/>
      <c r="B46" s="42" t="s">
        <v>7</v>
      </c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</row>
    <row r="47" spans="1:22">
      <c r="A47" s="49" t="s">
        <v>37</v>
      </c>
      <c r="B47" s="41" t="s">
        <v>3</v>
      </c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</row>
    <row r="48" spans="1:22" ht="13.5" thickBot="1">
      <c r="A48" s="51"/>
      <c r="B48" s="42" t="s">
        <v>7</v>
      </c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</row>
    <row r="49" spans="1:22">
      <c r="A49" s="36"/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</row>
    <row r="50" spans="1:22">
      <c r="A50" s="37" t="s">
        <v>38</v>
      </c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</row>
    <row r="51" spans="1:22">
      <c r="A51" s="38" t="s">
        <v>39</v>
      </c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</row>
    <row r="52" spans="1:22">
      <c r="A52" s="36"/>
      <c r="B52" s="36"/>
      <c r="C52" s="36"/>
      <c r="D52" s="36"/>
      <c r="M52" s="36"/>
      <c r="N52" s="36"/>
    </row>
    <row r="53" spans="1:22">
      <c r="B53" s="36"/>
      <c r="C53" s="36"/>
      <c r="D53" s="36"/>
      <c r="M53" s="36"/>
      <c r="N53" s="36"/>
    </row>
    <row r="54" spans="1:22">
      <c r="B54" s="36"/>
      <c r="C54" s="36"/>
      <c r="D54" s="36"/>
      <c r="M54" s="36"/>
      <c r="N54" s="36"/>
    </row>
    <row r="55" spans="1:22">
      <c r="B55" s="36"/>
      <c r="C55" s="36"/>
      <c r="D55" s="36"/>
      <c r="M55" s="36"/>
      <c r="N55" s="36"/>
    </row>
    <row r="56" spans="1:22">
      <c r="B56" s="36"/>
      <c r="C56" s="36"/>
      <c r="D56" s="36"/>
      <c r="M56" s="36"/>
      <c r="N56" s="36"/>
    </row>
    <row r="57" spans="1:22">
      <c r="B57" s="36"/>
      <c r="C57" s="36"/>
      <c r="D57" s="36"/>
      <c r="M57" s="36"/>
      <c r="N57" s="36"/>
    </row>
  </sheetData>
  <mergeCells count="24">
    <mergeCell ref="A7:A8"/>
    <mergeCell ref="A16:A20"/>
    <mergeCell ref="A14:A15"/>
    <mergeCell ref="A12:A13"/>
    <mergeCell ref="A47:A48"/>
    <mergeCell ref="A45:A46"/>
    <mergeCell ref="A41:A42"/>
    <mergeCell ref="A37:A39"/>
    <mergeCell ref="A31:A36"/>
    <mergeCell ref="A29:A30"/>
    <mergeCell ref="A24:A28"/>
    <mergeCell ref="A21:A23"/>
    <mergeCell ref="A1:B1"/>
    <mergeCell ref="C1:D1"/>
    <mergeCell ref="E1:F1"/>
    <mergeCell ref="G1:H1"/>
    <mergeCell ref="A3:A5"/>
    <mergeCell ref="O1:P1"/>
    <mergeCell ref="Q1:R1"/>
    <mergeCell ref="S1:T1"/>
    <mergeCell ref="U1:V1"/>
    <mergeCell ref="I1:J1"/>
    <mergeCell ref="M1:N1"/>
    <mergeCell ref="K1:L1"/>
  </mergeCells>
  <conditionalFormatting sqref="C1:V1">
    <cfRule type="containsText" dxfId="3" priority="1" operator="containsText" text="HV">
      <formula>NOT(ISERROR(SEARCH("HV",C1)))</formula>
    </cfRule>
    <cfRule type="containsText" dxfId="2" priority="4" operator="containsText" text="ST">
      <formula>NOT(ISERROR(SEARCH("ST",C1)))</formula>
    </cfRule>
  </conditionalFormatting>
  <conditionalFormatting sqref="B3:B48">
    <cfRule type="cellIs" dxfId="1" priority="5" operator="equal">
      <formula>"IMT"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xr:uid="{B472FA1B-FE62-46EA-A971-EBAF90C7850D}">
          <x14:formula1>
            <xm:f>Directory!$B:$B</xm:f>
          </x14:formula1>
          <xm:sqref>C3:V48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AE859-AEEB-449D-BCE3-6D80AB80383B}">
  <sheetPr codeName="Sheet2">
    <pageSetUpPr fitToPage="1"/>
  </sheetPr>
  <dimension ref="A1:F104"/>
  <sheetViews>
    <sheetView workbookViewId="0"/>
  </sheetViews>
  <sheetFormatPr defaultRowHeight="15"/>
  <cols>
    <col min="1" max="1" width="35.7109375" style="5" customWidth="1"/>
    <col min="2" max="2" width="20.7109375" style="5" customWidth="1"/>
    <col min="3" max="3" width="35.7109375" style="5" customWidth="1"/>
    <col min="4" max="4" width="40.7109375" style="5" customWidth="1"/>
    <col min="5" max="5" width="35.7109375" style="5" customWidth="1"/>
    <col min="6" max="6" width="25.7109375" style="5" customWidth="1"/>
    <col min="7" max="16384" width="9.140625" style="5"/>
  </cols>
  <sheetData>
    <row r="1" spans="1:6" ht="22.5">
      <c r="A1" s="25"/>
      <c r="B1" s="25"/>
      <c r="C1" s="69" t="s">
        <v>40</v>
      </c>
      <c r="D1" s="70"/>
      <c r="E1" s="63" t="s">
        <v>41</v>
      </c>
      <c r="F1" s="63"/>
    </row>
    <row r="2" spans="1:6">
      <c r="A2" s="25"/>
      <c r="B2" s="25"/>
      <c r="C2" s="6"/>
      <c r="D2" s="6"/>
      <c r="E2" s="7"/>
      <c r="F2" s="7"/>
    </row>
    <row r="3" spans="1:6">
      <c r="A3" s="1"/>
      <c r="B3" s="8"/>
      <c r="C3" s="8"/>
      <c r="D3" s="1" t="str">
        <f ca="1">"Race Track: " &amp; IFERROR(IF(E4 = "HV", "Happy Valley", IF(E4 = "ST", "Sha Tin", "")), "")</f>
        <v xml:space="preserve">Race Track: </v>
      </c>
      <c r="E3" s="1"/>
      <c r="F3" s="8"/>
    </row>
    <row r="4" spans="1:6">
      <c r="A4" s="26" t="e">
        <f>RIGHT(A3, LEN(A3) - SEARCH(", ", A3) - 1)</f>
        <v>#VALUE!</v>
      </c>
      <c r="B4" s="28" cm="1">
        <f t="array" ref="B4">MIN(IF(ISNUMBER(SEARCH(LEFT(A4, SEARCH(" ", A4) - 1), Roster!C1:V1)), COLUMN(Roster!C1:V1)))</f>
        <v>0</v>
      </c>
      <c r="C4" s="27" t="e" cm="1" vm="1">
        <f t="array" aca="1" ref="C4" ca="1">INDEX(Roster!A:V, 1, B4)</f>
        <v>#VALUE!</v>
      </c>
      <c r="D4" s="27" t="e" vm="2">
        <f ca="1">RIGHT(C4, LEN(C4) - SEARCH("(", C4))</f>
        <v>#VALUE!</v>
      </c>
      <c r="E4" s="26" t="e" vm="2">
        <f ca="1">LEFT(D4, SEARCH(")", D4) - 1)</f>
        <v>#VALUE!</v>
      </c>
      <c r="F4" s="8"/>
    </row>
    <row r="5" spans="1:6">
      <c r="A5" s="1"/>
      <c r="B5" s="8"/>
      <c r="C5" s="8"/>
      <c r="D5" s="1"/>
      <c r="E5" s="1"/>
      <c r="F5" s="8"/>
    </row>
    <row r="6" spans="1:6">
      <c r="A6" s="2" t="s">
        <v>42</v>
      </c>
      <c r="B6" s="8"/>
      <c r="C6" s="8"/>
      <c r="D6" s="2" t="s">
        <v>3</v>
      </c>
      <c r="E6" s="1"/>
      <c r="F6" s="8"/>
    </row>
    <row r="7" spans="1:6">
      <c r="A7" s="1" t="s">
        <v>43</v>
      </c>
      <c r="B7" s="8"/>
      <c r="C7" s="8"/>
      <c r="D7" s="1" t="s">
        <v>44</v>
      </c>
      <c r="E7" s="1" t="s">
        <v>45</v>
      </c>
      <c r="F7" s="8" t="str" cm="1">
        <f t="array" aca="1" ref="F7" ca="1">IFERROR(INDEX(Directory!A:C, MATCH(INDIRECT(ADDRESS(ROW(), COLUMN() - 1)), Directory!B:B, 0), COLUMN(Directory!C:C)), "")</f>
        <v>6035 5199</v>
      </c>
    </row>
    <row r="8" spans="1:6">
      <c r="A8" s="9" t="s">
        <v>47</v>
      </c>
      <c r="B8" s="8" cm="1">
        <f t="array" aca="1" ref="B8" ca="1">IFERROR(INDEX(Directory!A:C, MATCH(INDIRECT(ADDRESS(ROW(), COLUMN() - 1)), Directory!B:B, 0), COLUMN(Directory!C:C)), "")</f>
        <v>0</v>
      </c>
      <c r="C8" s="8"/>
      <c r="D8" s="1"/>
      <c r="E8" s="1"/>
      <c r="F8" s="8"/>
    </row>
    <row r="9" spans="1:6">
      <c r="A9" s="9" t="s">
        <v>48</v>
      </c>
      <c r="B9" s="8" cm="1">
        <f t="array" aca="1" ref="B9" ca="1">IFERROR(INDEX(Directory!A:C, MATCH(INDIRECT(ADDRESS(ROW(), COLUMN() - 1)), Directory!B:B, 0), COLUMN(Directory!C:C)), "")</f>
        <v>0</v>
      </c>
      <c r="C9" s="8"/>
      <c r="D9" s="1"/>
      <c r="E9" s="1"/>
      <c r="F9" s="8"/>
    </row>
    <row r="10" spans="1:6">
      <c r="A10" s="1" t="s">
        <v>49</v>
      </c>
      <c r="B10" s="8"/>
      <c r="C10" s="8"/>
      <c r="D10" s="1" t="s">
        <v>207</v>
      </c>
      <c r="E10" s="1"/>
      <c r="F10" s="8" t="s">
        <v>206</v>
      </c>
    </row>
    <row r="11" spans="1:6">
      <c r="A11" s="9" t="s">
        <v>50</v>
      </c>
      <c r="B11" s="8" cm="1">
        <f t="array" aca="1" ref="B11" ca="1">IFERROR(INDEX(Directory!A:C, MATCH(INDIRECT(ADDRESS(ROW(), COLUMN() - 1)), Directory!B:B, 0), COLUMN(Directory!C:C)), "")</f>
        <v>0</v>
      </c>
      <c r="C11" s="8"/>
      <c r="D11" s="1" t="s">
        <v>51</v>
      </c>
      <c r="E11" s="1"/>
      <c r="F11" s="8" t="s">
        <v>52</v>
      </c>
    </row>
    <row r="12" spans="1:6">
      <c r="A12" s="1" t="s">
        <v>53</v>
      </c>
      <c r="B12" s="8"/>
      <c r="C12" s="8"/>
      <c r="D12" s="1"/>
      <c r="E12" s="1"/>
      <c r="F12" s="8"/>
    </row>
    <row r="13" spans="1:6">
      <c r="A13" s="9" t="s">
        <v>54</v>
      </c>
      <c r="B13" s="8" cm="1">
        <f t="array" aca="1" ref="B13" ca="1">IFERROR(INDEX(Directory!A:C, MATCH(INDIRECT(ADDRESS(ROW(), COLUMN() - 1)), Directory!B:B, 0), COLUMN(Directory!C:C)), "")</f>
        <v>0</v>
      </c>
      <c r="C13" s="8"/>
      <c r="D13" s="1"/>
      <c r="E13" s="1"/>
      <c r="F13" s="8"/>
    </row>
    <row r="14" spans="1:6">
      <c r="A14" s="9" t="s">
        <v>55</v>
      </c>
      <c r="B14" s="8" cm="1">
        <f t="array" aca="1" ref="B14" ca="1">IFERROR(INDEX(Directory!A:C, MATCH(INDIRECT(ADDRESS(ROW(), COLUMN() - 1)), Directory!B:B, 0), COLUMN(Directory!C:C)), "")</f>
        <v>0</v>
      </c>
      <c r="C14" s="8"/>
      <c r="D14" s="1" t="s">
        <v>4</v>
      </c>
      <c r="E14" s="1" t="str" cm="1">
        <f t="array" aca="1" ref="E14" ca="1">IFERROR(INDEX(Roster!A:V, MATCH(INDIRECT(ADDRESS(ROW(), COLUMN() - 1)), Roster!A:A, 0), B4), "")</f>
        <v/>
      </c>
      <c r="F14" s="8" t="str" cm="1">
        <f t="array" aca="1" ref="F14" ca="1">IFERROR(INDEX(Directory!A:C, MATCH(INDIRECT(ADDRESS(ROW(), COLUMN() - 1)), Directory!B:B, 0), COLUMN(Directory!C:C)), "")</f>
        <v/>
      </c>
    </row>
    <row r="15" spans="1:6">
      <c r="A15" s="9" t="s">
        <v>58</v>
      </c>
      <c r="B15" s="8" cm="1">
        <f t="array" aca="1" ref="B15" ca="1">IFERROR(INDEX(Directory!A:C, MATCH(INDIRECT(ADDRESS(ROW(), COLUMN() - 1)), Directory!B:B, 0), COLUMN(Directory!C:C)), "")</f>
        <v>0</v>
      </c>
      <c r="C15" s="8"/>
      <c r="D15" s="1" t="s">
        <v>11</v>
      </c>
      <c r="E15" s="1" t="e" cm="1" vm="1">
        <f t="array" aca="1" ref="E15" ca="1">IFERROR(INDEX(Roster!A:V, MATCH(INDIRECT(ADDRESS(ROW(), COLUMN() - 1)), Roster!A:A, 0), B4), "")</f>
        <v>#VALUE!</v>
      </c>
      <c r="F15" s="8" t="str" cm="1">
        <f t="array" aca="1" ref="F15" ca="1">IFERROR(INDEX(Directory!A:C, MATCH(INDIRECT(ADDRESS(ROW(), COLUMN() - 1)), Directory!B:B, 0), COLUMN(Directory!C:C)), "")</f>
        <v/>
      </c>
    </row>
    <row r="16" spans="1:6">
      <c r="A16" s="9" t="s">
        <v>61</v>
      </c>
      <c r="B16" s="8" cm="1">
        <f t="array" aca="1" ref="B16" ca="1">IFERROR(INDEX(Directory!A:C, MATCH(INDIRECT(ADDRESS(ROW(), COLUMN() - 1)), Directory!B:B, 0), COLUMN(Directory!C:C)), "")</f>
        <v>0</v>
      </c>
      <c r="C16" s="8"/>
      <c r="D16" s="1" t="s">
        <v>12</v>
      </c>
      <c r="E16" s="1" t="e" cm="1" vm="1">
        <f t="array" aca="1" ref="E16" ca="1">IFERROR(INDEX(Roster!A:V, MATCH(INDIRECT(ADDRESS(ROW(), COLUMN() - 1)), Roster!A:A, 0), B4), "")</f>
        <v>#VALUE!</v>
      </c>
      <c r="F16" s="8" t="str" cm="1">
        <f t="array" aca="1" ref="F16" ca="1">IFERROR(INDEX(Directory!A:C, MATCH(INDIRECT(ADDRESS(ROW(), COLUMN() - 1)), Directory!B:B, 0), COLUMN(Directory!C:C)), "")</f>
        <v/>
      </c>
    </row>
    <row r="17" spans="1:6">
      <c r="A17" s="1" t="s">
        <v>64</v>
      </c>
      <c r="B17" s="8"/>
      <c r="C17" s="8"/>
      <c r="D17" s="1" t="s">
        <v>65</v>
      </c>
      <c r="E17" s="1" t="e" cm="1" vm="1">
        <f t="array" aca="1" ref="E17" ca="1">IFERROR(INDEX(Roster!A:V, MATCH(INDIRECT(ADDRESS(ROW(), COLUMN() - 1)), Roster!A:A, 0), B4), "")</f>
        <v>#VALUE!</v>
      </c>
      <c r="F17" s="8" t="str" cm="1">
        <f t="array" aca="1" ref="F17" ca="1">IFERROR(INDEX(Directory!A:C, MATCH(INDIRECT(ADDRESS(ROW(), COLUMN() - 1)), Directory!B:B, 0), COLUMN(Directory!C:C)), "")</f>
        <v/>
      </c>
    </row>
    <row r="18" spans="1:6">
      <c r="A18" s="9" t="s">
        <v>67</v>
      </c>
      <c r="B18" s="8" cm="1">
        <f t="array" aca="1" ref="B18" ca="1">IFERROR(INDEX(Directory!A:C, MATCH(INDIRECT(ADDRESS(ROW(), COLUMN() - 1)), Directory!B:B, 0), COLUMN(Directory!C:C)), "")</f>
        <v>0</v>
      </c>
      <c r="C18" s="8"/>
      <c r="D18" s="1" t="s">
        <v>13</v>
      </c>
      <c r="E18" s="1" t="e" cm="1" vm="1">
        <f t="array" aca="1" ref="E18" ca="1">IFERROR(INDEX(Roster!A:V, MATCH(INDIRECT(ADDRESS(ROW(), COLUMN() - 1)), Roster!A:A, 0), B4), "")</f>
        <v>#VALUE!</v>
      </c>
      <c r="F18" s="8" t="str" cm="1">
        <f t="array" aca="1" ref="F18" ca="1">IFERROR(INDEX(Directory!A:C, MATCH(INDIRECT(ADDRESS(ROW(), COLUMN() - 1)), Directory!B:B, 0), COLUMN(Directory!C:C)), "")</f>
        <v/>
      </c>
    </row>
    <row r="19" spans="1:6">
      <c r="A19" s="9" t="s">
        <v>70</v>
      </c>
      <c r="B19" s="8" cm="1">
        <f t="array" aca="1" ref="B19" ca="1">IFERROR(INDEX(Directory!A:C, MATCH(INDIRECT(ADDRESS(ROW(), COLUMN() - 1)), Directory!B:B, 0), COLUMN(Directory!C:C)), "")</f>
        <v>0</v>
      </c>
      <c r="C19" s="8"/>
      <c r="D19" s="1" t="s">
        <v>71</v>
      </c>
      <c r="E19" s="1" t="e" cm="1" vm="1">
        <f t="array" aca="1" ref="E19" ca="1">IFERROR(INDEX(Roster!A:V, MATCH(INDIRECT(ADDRESS(ROW(), COLUMN() - 1)), Roster!A:A, 0), B4), "")</f>
        <v>#VALUE!</v>
      </c>
      <c r="F19" s="8" t="str" cm="1">
        <f t="array" aca="1" ref="F19" ca="1">IFERROR(INDEX(Directory!A:C, MATCH(INDIRECT(ADDRESS(ROW(), COLUMN() - 1)), Directory!B:B, 0), COLUMN(Directory!C:C)), "")</f>
        <v/>
      </c>
    </row>
    <row r="20" spans="1:6">
      <c r="A20" s="9" t="s">
        <v>74</v>
      </c>
      <c r="B20" s="8" cm="1">
        <f t="array" aca="1" ref="B20" ca="1">IFERROR(INDEX(Directory!A:C, MATCH(INDIRECT(ADDRESS(ROW(), COLUMN() - 1)), Directory!B:B, 0), COLUMN(Directory!C:C)), "")</f>
        <v>0</v>
      </c>
      <c r="C20" s="8"/>
      <c r="D20" s="1" t="s">
        <v>116</v>
      </c>
      <c r="E20" s="1" t="e" cm="1" vm="1">
        <f t="array" aca="1" ref="E20" ca="1">IFERROR(INDEX(Roster!A:V, MATCH(INDIRECT(ADDRESS(ROW(), COLUMN() - 1)), Roster!A:A, 0), B4), "")</f>
        <v>#VALUE!</v>
      </c>
      <c r="F20" s="8" t="str" cm="1">
        <f t="array" aca="1" ref="F20" ca="1">IFERROR(INDEX(Directory!A:C, MATCH(INDIRECT(ADDRESS(ROW(), COLUMN() - 1)), Directory!B:B, 0), COLUMN(Directory!C:C)), "")</f>
        <v/>
      </c>
    </row>
    <row r="21" spans="1:6">
      <c r="A21" s="1"/>
      <c r="B21" s="8"/>
      <c r="C21" s="8"/>
      <c r="D21" s="1" t="s">
        <v>29</v>
      </c>
      <c r="E21" s="1" t="e" cm="1" vm="1">
        <f t="array" aca="1" ref="E21" ca="1">IFERROR(INDEX(Roster!A:V, MATCH(INDIRECT(ADDRESS(ROW(), COLUMN() - 1)), Roster!A:A, 0), B4), "")</f>
        <v>#VALUE!</v>
      </c>
      <c r="F21" s="8" t="str" cm="1">
        <f t="array" aca="1" ref="F21" ca="1">IFERROR(INDEX(Directory!A:C, MATCH(INDIRECT(ADDRESS(ROW(), COLUMN() - 1)), Directory!B:B, 0), COLUMN(Directory!C:C)), "")</f>
        <v/>
      </c>
    </row>
    <row r="22" spans="1:6">
      <c r="A22" s="2" t="s">
        <v>79</v>
      </c>
      <c r="B22" s="8"/>
      <c r="C22" s="8"/>
      <c r="D22" s="1" t="s">
        <v>2</v>
      </c>
      <c r="E22" s="1" t="e" cm="1" vm="1">
        <f t="array" aca="1" ref="E22" ca="1">IFERROR(INDEX(Roster!A:V, MATCH(INDIRECT(ADDRESS(ROW(), COLUMN() - 1)), Roster!A:A, 0), B4), "")</f>
        <v>#VALUE!</v>
      </c>
      <c r="F22" s="8" t="str" cm="1">
        <f t="array" aca="1" ref="F22" ca="1">IFERROR(INDEX(Directory!A:C, MATCH(INDIRECT(ADDRESS(ROW(), COLUMN() - 1)), Directory!B:B, 0), COLUMN(Directory!C:C)), "")</f>
        <v/>
      </c>
    </row>
    <row r="23" spans="1:6">
      <c r="A23" s="1" t="s">
        <v>82</v>
      </c>
      <c r="B23" s="8"/>
      <c r="C23" s="8"/>
      <c r="D23" s="1" t="s">
        <v>18</v>
      </c>
      <c r="E23" s="1" t="e" cm="1" vm="1">
        <f t="array" aca="1" ref="E23" ca="1">IFERROR(INDEX(Roster!A:V, MATCH(INDIRECT(ADDRESS(ROW(), COLUMN() - 1)), Roster!A:A, 0), B4), "")</f>
        <v>#VALUE!</v>
      </c>
      <c r="F23" s="8" t="str" cm="1">
        <f t="array" aca="1" ref="F23" ca="1">IFERROR(INDEX(Directory!A:C, MATCH(INDIRECT(ADDRESS(ROW(), COLUMN() - 1)), Directory!B:B, 0), COLUMN(Directory!C:C)), "")</f>
        <v/>
      </c>
    </row>
    <row r="24" spans="1:6">
      <c r="A24" s="9" t="s">
        <v>85</v>
      </c>
      <c r="B24" s="8" cm="1">
        <f t="array" aca="1" ref="B24" ca="1">IFERROR(INDEX(Directory!A:C, MATCH(INDIRECT(ADDRESS(ROW(), COLUMN() - 1)), Directory!B:B, 0), COLUMN(Directory!C:C)), "")</f>
        <v>0</v>
      </c>
      <c r="C24" s="8"/>
      <c r="D24" s="1" t="s">
        <v>86</v>
      </c>
      <c r="E24" s="1" t="e" cm="1" vm="1">
        <f t="array" aca="1" ref="E24" ca="1">IFERROR(INDEX(Roster!A:V, MATCH(INDIRECT(ADDRESS(ROW(), COLUMN() - 1)), Roster!A:A, 0), B4), "")</f>
        <v>#VALUE!</v>
      </c>
      <c r="F24" s="8" t="str" cm="1">
        <f t="array" aca="1" ref="F24" ca="1">IFERROR(INDEX(Directory!A:C, MATCH(INDIRECT(ADDRESS(ROW(), COLUMN() - 1)), Directory!B:B, 0), COLUMN(Directory!C:C)), "")</f>
        <v/>
      </c>
    </row>
    <row r="25" spans="1:6">
      <c r="A25" s="1" t="s">
        <v>89</v>
      </c>
      <c r="B25" s="8"/>
      <c r="C25" s="8"/>
      <c r="D25" s="1" t="s">
        <v>36</v>
      </c>
      <c r="E25" s="1" t="e" cm="1" vm="1">
        <f t="array" aca="1" ref="E25" ca="1">IFERROR(INDEX(Roster!A:V, MATCH(INDIRECT(ADDRESS(ROW(), COLUMN() - 1)), Roster!A:A, 0), B4), "")</f>
        <v>#VALUE!</v>
      </c>
      <c r="F25" s="8" t="str" cm="1">
        <f t="array" aca="1" ref="F25" ca="1">IFERROR(INDEX(Directory!A:C, MATCH(INDIRECT(ADDRESS(ROW(), COLUMN() - 1)), Directory!B:B, 0), COLUMN(Directory!C:C)), "")</f>
        <v/>
      </c>
    </row>
    <row r="26" spans="1:6">
      <c r="A26" s="9" t="s">
        <v>117</v>
      </c>
      <c r="B26" s="8" t="str" cm="1">
        <f t="array" aca="1" ref="B26" ca="1">IFERROR(INDEX(Directory!A:C, MATCH(INDIRECT(ADDRESS(ROW(), COLUMN() - 1)), Directory!B:B, 0), COLUMN(Directory!C:C)), "")</f>
        <v>6208 4656</v>
      </c>
      <c r="C26" s="8"/>
      <c r="D26" s="1" t="s">
        <v>93</v>
      </c>
      <c r="E26" s="1" t="str" cm="1">
        <f t="array" aca="1" ref="E26" ca="1">IFERROR(INDEX(Roster!A:V, MATCH(INDIRECT(ADDRESS(ROW(), COLUMN() - 1)), Roster!A:A, 0), B4), "")</f>
        <v/>
      </c>
      <c r="F26" s="8" t="str" cm="1">
        <f t="array" aca="1" ref="F26" ca="1">IFERROR(INDEX(Directory!A:C, MATCH(INDIRECT(ADDRESS(ROW(), COLUMN() - 1)), Directory!B:B, 0), COLUMN(Directory!C:C)), "")</f>
        <v/>
      </c>
    </row>
    <row r="27" spans="1:6">
      <c r="A27" s="1"/>
      <c r="B27" s="8"/>
      <c r="C27" s="8"/>
      <c r="D27" s="1"/>
      <c r="E27" s="1"/>
      <c r="F27" s="8"/>
    </row>
    <row r="28" spans="1:6">
      <c r="A28" s="9" t="s">
        <v>96</v>
      </c>
      <c r="B28" s="8" t="str" cm="1">
        <f t="array" aca="1" ref="B28" ca="1">IFERROR(INDEX(Directory!A:C, MATCH(RIGHT(INDIRECT(ADDRESS(ROW(), COLUMN() - 1)), LEN(INDIRECT(ADDRESS(ROW(), COLUMN() - 1))) - SEARCH("Dr", INDIRECT(ADDRESS(ROW(), COLUMN() - 1))) - 2), Directory!B:B, 0), COLUMN(Directory!C:C)), "")</f>
        <v>6232 2021 / 2966 8777</v>
      </c>
      <c r="C28" s="8"/>
      <c r="D28" s="1"/>
      <c r="E28" s="1"/>
      <c r="F28" s="8"/>
    </row>
    <row r="29" spans="1:6">
      <c r="A29" s="1"/>
      <c r="B29" s="8"/>
      <c r="C29" s="8"/>
      <c r="D29" s="1"/>
      <c r="E29" s="1"/>
      <c r="F29" s="8"/>
    </row>
    <row r="30" spans="1:6">
      <c r="A30" s="64" t="s">
        <v>98</v>
      </c>
      <c r="B30" s="64"/>
      <c r="C30" s="64"/>
      <c r="D30" s="64"/>
      <c r="E30" s="64"/>
      <c r="F30" s="64"/>
    </row>
    <row r="31" spans="1:6">
      <c r="A31" s="65" t="s">
        <v>99</v>
      </c>
      <c r="B31" s="65"/>
      <c r="C31" s="66" t="str">
        <f ca="1">"Race Track (" &amp; IF(ISNUMBER(SEARCH("Happy Valley", D3)), "H.V.", IF(ISNUMBER(SEARCH("Sha Tin", D3)), "S.T.", "")) &amp; ")"</f>
        <v>Race Track ()</v>
      </c>
      <c r="D31" s="67"/>
      <c r="E31" s="68" t="str">
        <f ca="1">"Cross Betting (" &amp; IF(ISNUMBER(SEARCH("Happy Valley", D3)), "S.T.", IF(ISNUMBER(SEARCH("Sha Tin", D3)), "H.V.", "")) &amp; ")"</f>
        <v>Cross Betting ()</v>
      </c>
      <c r="F31" s="68"/>
    </row>
    <row r="32" spans="1:6">
      <c r="A32" s="54"/>
      <c r="B32" s="55"/>
      <c r="C32" s="15"/>
      <c r="D32" s="15"/>
      <c r="E32" s="16"/>
      <c r="F32" s="17"/>
    </row>
    <row r="33" spans="1:6">
      <c r="A33" s="58" t="s">
        <v>100</v>
      </c>
      <c r="B33" s="59"/>
      <c r="C33" s="18"/>
      <c r="D33" s="19"/>
      <c r="E33" s="20"/>
      <c r="F33" s="21"/>
    </row>
    <row r="34" spans="1:6">
      <c r="A34" s="60" t="s">
        <v>2</v>
      </c>
      <c r="B34" s="57"/>
      <c r="C34" s="20"/>
      <c r="D34" s="19"/>
      <c r="E34" s="20"/>
      <c r="F34" s="21"/>
    </row>
    <row r="35" spans="1:6">
      <c r="A35" s="56" t="s">
        <v>4</v>
      </c>
      <c r="B35" s="57"/>
      <c r="C35" s="20" t="e" cm="1" vm="1">
        <f t="array" aca="1" ref="C35" ca="1">IFERROR(INDEX(Roster!A:V, MATCH(INDIRECT(ADDRESS(ROW(), COLUMN() - 2)), Roster!B:B, 0), B4), "")</f>
        <v>#VALUE!</v>
      </c>
      <c r="D35" s="19" t="str" cm="1">
        <f t="array" aca="1" ref="D35" ca="1">IFERROR("- " &amp; INDEX(Directory!A:C, MATCH(INDIRECT(ADDRESS(ROW(), COLUMN() - 1)), Directory!B:B, 0), COLUMN(Directory!C:C)), "")</f>
        <v/>
      </c>
      <c r="E35" s="20" cm="1">
        <f t="array" aca="1" ref="E35" ca="1">IFERROR(INDEX(Roster!A:V, MATCH(INDIRECT(ADDRESS(ROW(), COLUMN() - 4)), Roster!B:B, 0), B4 + 1), "")</f>
        <v>0</v>
      </c>
      <c r="F35" s="21" t="str" cm="1">
        <f t="array" aca="1" ref="F35" ca="1">IFERROR("- " &amp; INDEX(Directory!A:C, MATCH(INDIRECT(ADDRESS(ROW(), COLUMN() - 1)), Directory!B:B, 0), COLUMN(Directory!C:C)), "")</f>
        <v/>
      </c>
    </row>
    <row r="36" spans="1:6">
      <c r="A36" s="56" t="s">
        <v>5</v>
      </c>
      <c r="B36" s="57"/>
      <c r="C36" s="20" t="e" cm="1" vm="1">
        <f t="array" aca="1" ref="C36" ca="1">IFERROR(INDEX(Roster!A:V, MATCH(INDIRECT(ADDRESS(ROW(), COLUMN() - 2)), Roster!B:B, 0), B4), "")</f>
        <v>#VALUE!</v>
      </c>
      <c r="D36" s="19" t="str" cm="1">
        <f t="array" aca="1" ref="D36" ca="1">IFERROR("- " &amp; INDEX(Directory!A:C, MATCH(INDIRECT(ADDRESS(ROW(), COLUMN() - 1)), Directory!B:B, 0), COLUMN(Directory!C:C)), "")</f>
        <v/>
      </c>
      <c r="E36" s="20" cm="1">
        <f t="array" aca="1" ref="E36" ca="1">IFERROR(INDEX(Roster!A:V, MATCH(INDIRECT(ADDRESS(ROW(), COLUMN() - 4)), Roster!B:B, 0), B4 + 1), "")</f>
        <v>0</v>
      </c>
      <c r="F36" s="21" t="str" cm="1">
        <f t="array" aca="1" ref="F36" ca="1">IFERROR("- " &amp; INDEX(Directory!A:C, MATCH(INDIRECT(ADDRESS(ROW(), COLUMN() - 1)), Directory!B:B, 0), COLUMN(Directory!C:C)), "")</f>
        <v/>
      </c>
    </row>
    <row r="37" spans="1:6">
      <c r="A37" s="58"/>
      <c r="B37" s="59"/>
      <c r="C37" s="20"/>
      <c r="D37" s="19"/>
      <c r="E37" s="20"/>
      <c r="F37" s="21"/>
    </row>
    <row r="38" spans="1:6">
      <c r="A38" s="56" t="s">
        <v>37</v>
      </c>
      <c r="B38" s="57"/>
      <c r="C38" s="20" t="e" cm="1" vm="1">
        <f t="array" aca="1" ref="C38" ca="1">IFERROR(INDEX(Roster!A:V, MATCH(INDIRECT(ADDRESS(ROW(), COLUMN() - 2)), Roster!A:A, 0) + 1, B4), "")</f>
        <v>#VALUE!</v>
      </c>
      <c r="D38" s="19" t="str" cm="1">
        <f t="array" aca="1" ref="D38" ca="1">IFERROR("- " &amp; INDEX(Directory!A:C, MATCH(INDIRECT(ADDRESS(ROW(), COLUMN() - 1)), Directory!B:B, 0), COLUMN(Directory!C:C)), "")</f>
        <v/>
      </c>
      <c r="E38" s="20" cm="1">
        <f t="array" aca="1" ref="E38" ca="1">IFERROR(INDEX(Roster!A:V, MATCH(INDIRECT(ADDRESS(ROW(), COLUMN() - 4)), Roster!A:A, 0) + 1, B4 + 1), "")</f>
        <v>0</v>
      </c>
      <c r="F38" s="21" t="str" cm="1">
        <f t="array" aca="1" ref="F38" ca="1">IFERROR("- " &amp; INDEX(Directory!A:C, MATCH(INDIRECT(ADDRESS(ROW(), COLUMN() - 1)), Directory!B:B, 0), COLUMN(Directory!C:C)), "")</f>
        <v/>
      </c>
    </row>
    <row r="39" spans="1:6">
      <c r="A39" s="58"/>
      <c r="B39" s="59"/>
      <c r="C39" s="20"/>
      <c r="D39" s="19"/>
      <c r="E39" s="20"/>
      <c r="F39" s="21"/>
    </row>
    <row r="40" spans="1:6">
      <c r="A40" s="58" t="s">
        <v>101</v>
      </c>
      <c r="B40" s="59"/>
      <c r="C40" s="20"/>
      <c r="D40" s="19"/>
      <c r="E40" s="20"/>
      <c r="F40" s="21"/>
    </row>
    <row r="41" spans="1:6">
      <c r="A41" s="60" t="s">
        <v>114</v>
      </c>
      <c r="B41" s="61"/>
      <c r="C41" s="20"/>
      <c r="D41" s="19"/>
      <c r="E41" s="20"/>
      <c r="F41" s="21"/>
    </row>
    <row r="42" spans="1:6">
      <c r="A42" s="56" t="s">
        <v>102</v>
      </c>
      <c r="B42" s="57"/>
      <c r="C42" s="20" t="str" cm="1">
        <f t="array" aca="1" ref="C42" ca="1">IFERROR(INDEX(Roster!A:V, MATCH(INDIRECT(ADDRESS(ROW(), COLUMN() - 2)), Roster!B:B, 0), B4), "")</f>
        <v/>
      </c>
      <c r="D42" s="19" t="str" cm="1">
        <f t="array" aca="1" ref="D42" ca="1">IFERROR("- " &amp; INDEX(Directory!A:C, MATCH(INDIRECT(ADDRESS(ROW(), COLUMN() - 1)), Directory!B:B, 0), COLUMN(Directory!C:C)), "")</f>
        <v/>
      </c>
      <c r="E42" s="20" t="str" cm="1">
        <f t="array" aca="1" ref="E42" ca="1">IFERROR(INDEX(Roster!A:V, MATCH(INDIRECT(ADDRESS(ROW(), COLUMN() - 4)), Roster!B:B, 0), B4 + 1), "")</f>
        <v/>
      </c>
      <c r="F42" s="21" t="str" cm="1">
        <f t="array" aca="1" ref="F42" ca="1">IFERROR("- " &amp; INDEX(Directory!A:C, MATCH(INDIRECT(ADDRESS(ROW(), COLUMN() - 1)), Directory!B:B, 0), COLUMN(Directory!C:C)), "")</f>
        <v/>
      </c>
    </row>
    <row r="43" spans="1:6">
      <c r="A43" s="56" t="s">
        <v>103</v>
      </c>
      <c r="B43" s="57"/>
      <c r="C43" s="20" t="str" cm="1">
        <f t="array" aca="1" ref="C43" ca="1">IFERROR(INDEX(Roster!A:V, MATCH(INDIRECT(ADDRESS(ROW(), COLUMN() - 2)), Roster!B:B, 0), B4), "")</f>
        <v/>
      </c>
      <c r="D43" s="19" t="str" cm="1">
        <f t="array" aca="1" ref="D43" ca="1">IFERROR("- " &amp; INDEX(Directory!A:C, MATCH(INDIRECT(ADDRESS(ROW(), COLUMN() - 1)), Directory!B:B, 0), COLUMN(Directory!C:C)), "")</f>
        <v/>
      </c>
      <c r="E43" s="20" t="str" cm="1">
        <f t="array" aca="1" ref="E43" ca="1">IFERROR(INDEX(Roster!A:V, MATCH(INDIRECT(ADDRESS(ROW(), COLUMN() - 4)), Roster!B:B, 0), B4 + 1), "")</f>
        <v/>
      </c>
      <c r="F43" s="21" t="str" cm="1">
        <f t="array" aca="1" ref="F43" ca="1">IFERROR("- " &amp; INDEX(Directory!A:C, MATCH(INDIRECT(ADDRESS(ROW(), COLUMN() - 1)), Directory!B:B, 0), COLUMN(Directory!C:C)), "")</f>
        <v/>
      </c>
    </row>
    <row r="44" spans="1:6">
      <c r="A44" s="56" t="s">
        <v>104</v>
      </c>
      <c r="B44" s="57"/>
      <c r="C44" s="20" t="str" cm="1">
        <f t="array" aca="1" ref="C44" ca="1">IFERROR(INDEX(Roster!A:V, MATCH(INDIRECT(ADDRESS(ROW(), COLUMN() - 2)), Roster!B:B, 0), B4), "")</f>
        <v/>
      </c>
      <c r="D44" s="19" t="str" cm="1">
        <f t="array" aca="1" ref="D44" ca="1">IFERROR("- " &amp; INDEX(Directory!A:C, MATCH(INDIRECT(ADDRESS(ROW(), COLUMN() - 1)), Directory!B:B, 0), COLUMN(Directory!C:C)), "")</f>
        <v/>
      </c>
      <c r="E44" s="20" t="str" cm="1">
        <f t="array" aca="1" ref="E44" ca="1">IFERROR(INDEX(Roster!A:V, MATCH(INDIRECT(ADDRESS(ROW(), COLUMN() - 4)), Roster!B:B, 0), B4 + 1), "")</f>
        <v/>
      </c>
      <c r="F44" s="21" t="str" cm="1">
        <f t="array" aca="1" ref="F44" ca="1">IFERROR("- " &amp; INDEX(Directory!A:C, MATCH(INDIRECT(ADDRESS(ROW(), COLUMN() - 1)), Directory!B:B, 0), COLUMN(Directory!C:C)), "")</f>
        <v/>
      </c>
    </row>
    <row r="45" spans="1:6">
      <c r="A45" s="56" t="s">
        <v>105</v>
      </c>
      <c r="B45" s="57"/>
      <c r="C45" s="20" t="str" cm="1">
        <f t="array" aca="1" ref="C45" ca="1">IFERROR(INDEX(Roster!A:V, MATCH(INDIRECT(ADDRESS(ROW(), COLUMN() - 2)), Roster!B:B, 0), B4), "")</f>
        <v/>
      </c>
      <c r="D45" s="19" t="str" cm="1">
        <f t="array" aca="1" ref="D45" ca="1">IFERROR("- " &amp; INDEX(Directory!A:C, MATCH(INDIRECT(ADDRESS(ROW(), COLUMN() - 1)), Directory!B:B, 0), COLUMN(Directory!C:C)), "")</f>
        <v/>
      </c>
      <c r="E45" s="20" t="str" cm="1">
        <f t="array" aca="1" ref="E45" ca="1">IFERROR(INDEX(Roster!A:V, MATCH(INDIRECT(ADDRESS(ROW(), COLUMN() - 4)), Roster!B:B, 0), B4 + 1), "")</f>
        <v/>
      </c>
      <c r="F45" s="21" t="str" cm="1">
        <f t="array" aca="1" ref="F45" ca="1">IFERROR("- " &amp; INDEX(Directory!A:C, MATCH(INDIRECT(ADDRESS(ROW(), COLUMN() - 1)), Directory!B:B, 0), COLUMN(Directory!C:C)), "")</f>
        <v/>
      </c>
    </row>
    <row r="46" spans="1:6">
      <c r="A46" s="56" t="s">
        <v>8</v>
      </c>
      <c r="B46" s="57"/>
      <c r="C46" s="20" t="e" cm="1" vm="1">
        <f t="array" aca="1" ref="C46" ca="1">IFERROR(INDEX(Roster!A:V, MATCH(INDIRECT(ADDRESS(ROW(), COLUMN() - 2)), Roster!B:B, 0), B4), "")</f>
        <v>#VALUE!</v>
      </c>
      <c r="D46" s="19" t="str" cm="1">
        <f t="array" aca="1" ref="D46" ca="1">IFERROR("- " &amp; INDEX(Directory!A:C, MATCH(INDIRECT(ADDRESS(ROW(), COLUMN() - 1)), Directory!B:B, 0), COLUMN(Directory!C:C)), "")</f>
        <v/>
      </c>
      <c r="E46" s="20" t="str" cm="1">
        <f t="array" aca="1" ref="E46" ca="1">IFERROR(INDEX(Roster!A:V, MATCH(INDIRECT(ADDRESS(ROW(), COLUMN() - 4)), Roster!B:B, 0), B4 + 1), "")</f>
        <v>Betting Control &amp; Customer Operations</v>
      </c>
      <c r="F46" s="21" t="str" cm="1">
        <f t="array" aca="1" ref="F46" ca="1">IFERROR("- " &amp; INDEX(Directory!A:C, MATCH(INDIRECT(ADDRESS(ROW(), COLUMN() - 1)), Directory!B:B, 0), COLUMN(Directory!C:C)), "")</f>
        <v/>
      </c>
    </row>
    <row r="47" spans="1:6">
      <c r="A47" s="58"/>
      <c r="B47" s="59"/>
      <c r="C47" s="20"/>
      <c r="D47" s="19"/>
      <c r="E47" s="20"/>
      <c r="F47" s="21"/>
    </row>
    <row r="48" spans="1:6">
      <c r="A48" s="56" t="s">
        <v>9</v>
      </c>
      <c r="B48" s="57"/>
      <c r="C48" s="20" t="e" cm="1" vm="1">
        <f t="array" aca="1" ref="C48" ca="1">IFERROR(INDEX(Roster!A:V, MATCH(INDIRECT(ADDRESS(ROW(), COLUMN() - 2)), Roster!B:B, 0), B4), "")</f>
        <v>#VALUE!</v>
      </c>
      <c r="D48" s="19" t="str" cm="1">
        <f t="array" aca="1" ref="D48" ca="1">IFERROR("- " &amp; INDEX(Directory!A:C, MATCH(INDIRECT(ADDRESS(ROW(), COLUMN() - 1)), Directory!B:B, 0), COLUMN(Directory!C:C)), "")</f>
        <v/>
      </c>
      <c r="E48" s="20" cm="1">
        <f t="array" aca="1" ref="E48" ca="1">IFERROR(INDEX(Roster!A:V, MATCH(INDIRECT(ADDRESS(ROW(), COLUMN() - 4)), Roster!B:B, 0), B4 + 1), "")</f>
        <v>0</v>
      </c>
      <c r="F48" s="21" t="str" cm="1">
        <f t="array" aca="1" ref="F48" ca="1">IFERROR("- " &amp; INDEX(Directory!A:C, MATCH(INDIRECT(ADDRESS(ROW(), COLUMN() - 1)), Directory!B:B, 0), COLUMN(Directory!C:C)), "")</f>
        <v/>
      </c>
    </row>
    <row r="49" spans="1:6">
      <c r="A49" s="58"/>
      <c r="B49" s="59"/>
      <c r="C49" s="20"/>
      <c r="D49" s="19"/>
      <c r="E49" s="20"/>
      <c r="F49" s="21"/>
    </row>
    <row r="50" spans="1:6">
      <c r="A50" s="56" t="s">
        <v>115</v>
      </c>
      <c r="B50" s="57"/>
      <c r="C50" s="20" t="e" cm="1" vm="1">
        <f t="array" aca="1" ref="C50" ca="1">IFERROR(INDEX(Roster!A:V, MATCH(INDIRECT(ADDRESS(ROW(), COLUMN() - 2)), Roster!A:A, 0), B4), "")</f>
        <v>#VALUE!</v>
      </c>
      <c r="D50" s="19" t="str" cm="1">
        <f t="array" aca="1" ref="D50" ca="1">IFERROR("- " &amp; INDEX(Directory!A:C, MATCH(INDIRECT(ADDRESS(ROW(), COLUMN() - 1)), Directory!B:B, 0), COLUMN(Directory!C:C)), "")</f>
        <v/>
      </c>
      <c r="E50" s="20" t="str" cm="1">
        <f t="array" aca="1" ref="E50" ca="1">IFERROR(INDEX(Roster!A:V, MATCH(INDIRECT(ADDRESS(ROW(), COLUMN() - 4)), Roster!A:A, 0), B4 + 1), "")</f>
        <v>Betting Account Administration</v>
      </c>
      <c r="F50" s="21" t="str" cm="1">
        <f t="array" aca="1" ref="F50" ca="1">IFERROR("- " &amp; INDEX(Directory!A:C, MATCH(INDIRECT(ADDRESS(ROW(), COLUMN() - 1)), Directory!B:B, 0), COLUMN(Directory!C:C)), "")</f>
        <v/>
      </c>
    </row>
    <row r="51" spans="1:6">
      <c r="A51" s="58"/>
      <c r="B51" s="59"/>
      <c r="C51" s="20"/>
      <c r="D51" s="19"/>
      <c r="E51" s="20"/>
      <c r="F51" s="21"/>
    </row>
    <row r="52" spans="1:6">
      <c r="A52" s="56" t="s">
        <v>10</v>
      </c>
      <c r="B52" s="57"/>
      <c r="C52" s="20" t="e" cm="1" vm="1">
        <f t="array" aca="1" ref="C52" ca="1">IFERROR(INDEX(Roster!A:V, MATCH(INDIRECT(ADDRESS(ROW(), COLUMN() - 2)), Roster!A:A, 0), B4), "")</f>
        <v>#VALUE!</v>
      </c>
      <c r="D52" s="19" t="str" cm="1">
        <f t="array" aca="1" ref="D52" ca="1">IFERROR("- " &amp; INDEX(Directory!A:C, MATCH(INDIRECT(ADDRESS(ROW(), COLUMN() - 1)), Directory!B:B, 0), COLUMN(Directory!C:C)), "")</f>
        <v/>
      </c>
      <c r="E52" s="20" t="str" cm="1">
        <f t="array" aca="1" ref="E52" ca="1">IFERROR(INDEX(Roster!A:V, MATCH(INDIRECT(ADDRESS(ROW(), COLUMN() - 4)), Roster!A:A, 0), B4 + 1), "")</f>
        <v>Digital Services &amp; Funds Transfer Services</v>
      </c>
      <c r="F52" s="21" t="str" cm="1">
        <f t="array" aca="1" ref="F52" ca="1">IFERROR("- " &amp; INDEX(Directory!A:C, MATCH(INDIRECT(ADDRESS(ROW(), COLUMN() - 1)), Directory!B:B, 0), COLUMN(Directory!C:C)), "")</f>
        <v/>
      </c>
    </row>
    <row r="53" spans="1:6">
      <c r="A53" s="58"/>
      <c r="B53" s="59"/>
      <c r="C53" s="20"/>
      <c r="D53" s="19"/>
      <c r="E53" s="20"/>
      <c r="F53" s="21"/>
    </row>
    <row r="54" spans="1:6">
      <c r="A54" s="58" t="s">
        <v>208</v>
      </c>
      <c r="B54" s="59"/>
      <c r="C54" s="20"/>
      <c r="D54" s="19"/>
      <c r="E54" s="20"/>
      <c r="F54" s="21"/>
    </row>
    <row r="55" spans="1:6">
      <c r="A55" s="60" t="s">
        <v>65</v>
      </c>
      <c r="B55" s="61"/>
      <c r="C55" s="20"/>
      <c r="D55" s="19"/>
      <c r="E55" s="20"/>
      <c r="F55" s="21"/>
    </row>
    <row r="56" spans="1:6">
      <c r="A56" s="56" t="s">
        <v>106</v>
      </c>
      <c r="B56" s="57"/>
      <c r="C56" s="20" t="e" cm="1" vm="1">
        <f t="array" aca="1" ref="C56" ca="1">IFERROR(INDEX(Roster!A:V, MATCH(INDIRECT(ADDRESS(ROW(), COLUMN() - 2)), Roster!B:B, 0), B4), "")</f>
        <v>#VALUE!</v>
      </c>
      <c r="D56" s="19" t="str" cm="1">
        <f t="array" aca="1" ref="D56" ca="1">IFERROR("- " &amp; INDEX(Directory!A:C, MATCH(INDIRECT(ADDRESS(ROW(), COLUMN() - 1)), Directory!B:B, 0), COLUMN(Directory!C:C)), "")</f>
        <v/>
      </c>
      <c r="E56" s="20" cm="1">
        <f t="array" aca="1" ref="E56" ca="1">IFERROR(INDEX(Roster!A:V, MATCH(INDIRECT(ADDRESS(ROW(), COLUMN() - 4)), Roster!B:B, 0), B4 + 1), "")</f>
        <v>0</v>
      </c>
      <c r="F56" s="21" t="str" cm="1">
        <f t="array" aca="1" ref="F56" ca="1">IFERROR("- " &amp; INDEX(Directory!A:C, MATCH(INDIRECT(ADDRESS(ROW(), COLUMN() - 1)), Directory!B:B, 0), COLUMN(Directory!C:C)), "")</f>
        <v/>
      </c>
    </row>
    <row r="57" spans="1:6">
      <c r="A57" s="56" t="s">
        <v>21</v>
      </c>
      <c r="B57" s="57"/>
      <c r="C57" s="20" t="e" cm="1" vm="1">
        <f t="array" aca="1" ref="C57" ca="1">IFERROR(INDEX(Roster!A:V, MATCH(INDIRECT(ADDRESS(ROW(), COLUMN() - 2)), Roster!B:B, 0), B4), "")</f>
        <v>#VALUE!</v>
      </c>
      <c r="D57" s="19" t="str" cm="1">
        <f t="array" aca="1" ref="D57" ca="1">IFERROR("- " &amp; INDEX(Directory!A:C, MATCH(INDIRECT(ADDRESS(ROW(), COLUMN() - 1)), Directory!B:B, 0), COLUMN(Directory!C:C)), "")</f>
        <v/>
      </c>
      <c r="E57" s="20" cm="1">
        <f t="array" aca="1" ref="E57" ca="1">IFERROR(INDEX(Roster!A:V, MATCH(INDIRECT(ADDRESS(ROW(), COLUMN() - 4)), Roster!B:B, 0), B4 + 1), "")</f>
        <v>0</v>
      </c>
      <c r="F57" s="21" t="str" cm="1">
        <f t="array" aca="1" ref="F57" ca="1">IFERROR("- " &amp; INDEX(Directory!A:C, MATCH(INDIRECT(ADDRESS(ROW(), COLUMN() - 1)), Directory!B:B, 0), COLUMN(Directory!C:C)), "")</f>
        <v/>
      </c>
    </row>
    <row r="58" spans="1:6">
      <c r="A58" s="56" t="s">
        <v>22</v>
      </c>
      <c r="B58" s="57"/>
      <c r="C58" s="20" t="e" cm="1" vm="1">
        <f t="array" aca="1" ref="C58" ca="1">IFERROR(INDEX(Roster!A:V, MATCH(INDIRECT(ADDRESS(ROW(), COLUMN() - 2)), Roster!B:B, 0), B4), "")</f>
        <v>#VALUE!</v>
      </c>
      <c r="D58" s="19" t="str" cm="1">
        <f t="array" aca="1" ref="D58" ca="1">IFERROR("- " &amp; INDEX(Directory!A:C, MATCH(INDIRECT(ADDRESS(ROW(), COLUMN() - 1)), Directory!B:B, 0), COLUMN(Directory!C:C)), "")</f>
        <v/>
      </c>
      <c r="E58" s="20" cm="1">
        <f t="array" aca="1" ref="E58" ca="1">IFERROR(INDEX(Roster!A:V, MATCH(INDIRECT(ADDRESS(ROW(), COLUMN() - 4)), Roster!B:B, 0), B4 + 1), "")</f>
        <v>0</v>
      </c>
      <c r="F58" s="21" t="str" cm="1">
        <f t="array" aca="1" ref="F58" ca="1">IFERROR("- " &amp; INDEX(Directory!A:C, MATCH(INDIRECT(ADDRESS(ROW(), COLUMN() - 1)), Directory!B:B, 0), COLUMN(Directory!C:C)), "")</f>
        <v/>
      </c>
    </row>
    <row r="59" spans="1:6">
      <c r="A59" s="56" t="s">
        <v>23</v>
      </c>
      <c r="B59" s="57"/>
      <c r="C59" s="20" t="e" cm="1" vm="1">
        <f t="array" aca="1" ref="C59" ca="1">IFERROR(INDEX(Roster!A:V, MATCH(INDIRECT(ADDRESS(ROW(), COLUMN() - 2)), Roster!B:B, 0), B4), "")</f>
        <v>#VALUE!</v>
      </c>
      <c r="D59" s="19" t="str" cm="1">
        <f t="array" aca="1" ref="D59" ca="1">IFERROR("- " &amp; INDEX(Directory!A:C, MATCH(INDIRECT(ADDRESS(ROW(), COLUMN() - 1)), Directory!B:B, 0), COLUMN(Directory!C:C)), "")</f>
        <v/>
      </c>
      <c r="E59" s="20" cm="1">
        <f t="array" aca="1" ref="E59" ca="1">IFERROR(INDEX(Roster!A:V, MATCH(INDIRECT(ADDRESS(ROW(), COLUMN() - 4)), Roster!B:B, 0), B4 + 1), "")</f>
        <v>0</v>
      </c>
      <c r="F59" s="21" t="str" cm="1">
        <f t="array" aca="1" ref="F59" ca="1">IFERROR("- " &amp; INDEX(Directory!A:C, MATCH(INDIRECT(ADDRESS(ROW(), COLUMN() - 1)), Directory!B:B, 0), COLUMN(Directory!C:C)), "")</f>
        <v/>
      </c>
    </row>
    <row r="60" spans="1:6">
      <c r="A60" s="56" t="s">
        <v>107</v>
      </c>
      <c r="B60" s="57"/>
      <c r="C60" s="20" t="e" cm="1" vm="1">
        <f t="array" aca="1" ref="C60" ca="1">IFERROR(INDEX(Roster!A:V, MATCH(INDIRECT(ADDRESS(ROW(), COLUMN() - 2)), Roster!A:A, 0), B4), "")</f>
        <v>#VALUE!</v>
      </c>
      <c r="D60" s="19" t="str" cm="1">
        <f t="array" aca="1" ref="D60" ca="1">IFERROR("- " &amp; INDEX(Directory!A:C, MATCH(INDIRECT(ADDRESS(ROW(), COLUMN() - 1)), Directory!B:B, 0), COLUMN(Directory!C:C)), "")</f>
        <v/>
      </c>
      <c r="E60" s="20" t="str" cm="1">
        <f t="array" aca="1" ref="E60" ca="1">IFERROR(INDEX(Roster!A:V, MATCH(INDIRECT(ADDRESS(ROW(), COLUMN() - 4)), Roster!A:A, 0), B4 + 1), "")</f>
        <v>Customer Care (Hotline)</v>
      </c>
      <c r="F60" s="21" t="str" cm="1">
        <f t="array" aca="1" ref="F60" ca="1">IFERROR("- " &amp; INDEX(Directory!A:C, MATCH(INDIRECT(ADDRESS(ROW(), COLUMN() - 1)), Directory!B:B, 0), COLUMN(Directory!C:C)), "")</f>
        <v/>
      </c>
    </row>
    <row r="61" spans="1:6">
      <c r="A61" s="58"/>
      <c r="B61" s="59"/>
      <c r="C61" s="20"/>
      <c r="D61" s="19"/>
      <c r="E61" s="20"/>
      <c r="F61" s="21"/>
    </row>
    <row r="62" spans="1:6">
      <c r="A62" s="60" t="s">
        <v>13</v>
      </c>
      <c r="B62" s="61"/>
      <c r="C62" s="20"/>
      <c r="D62" s="19"/>
      <c r="E62" s="20"/>
      <c r="F62" s="21"/>
    </row>
    <row r="63" spans="1:6">
      <c r="A63" s="56" t="s">
        <v>14</v>
      </c>
      <c r="B63" s="57"/>
      <c r="C63" s="20" t="e" cm="1" vm="1">
        <f t="array" aca="1" ref="C63" ca="1">IFERROR(INDEX(Roster!A:V, MATCH(INDIRECT(ADDRESS(ROW(), COLUMN() - 2)), Roster!B:B, 0), B4), "")</f>
        <v>#VALUE!</v>
      </c>
      <c r="D63" s="19" t="str" cm="1">
        <f t="array" aca="1" ref="D63" ca="1">IFERROR("- " &amp; INDEX(Directory!A:C, MATCH(INDIRECT(ADDRESS(ROW(), COLUMN() - 1)), Directory!B:B, 0), COLUMN(Directory!C:C)), "")</f>
        <v/>
      </c>
      <c r="E63" s="20" cm="1">
        <f t="array" aca="1" ref="E63" ca="1">IFERROR(INDEX(Roster!A:V, MATCH(INDIRECT(ADDRESS(ROW(), COLUMN() - 4)), Roster!B:B, 0), B4 + 1), "")</f>
        <v>0</v>
      </c>
      <c r="F63" s="21" t="str" cm="1">
        <f t="array" aca="1" ref="F63" ca="1">IFERROR("- " &amp; INDEX(Directory!A:C, MATCH(INDIRECT(ADDRESS(ROW(), COLUMN() - 1)), Directory!B:B, 0), COLUMN(Directory!C:C)), "")</f>
        <v/>
      </c>
    </row>
    <row r="64" spans="1:6">
      <c r="A64" s="56" t="s">
        <v>15</v>
      </c>
      <c r="B64" s="57"/>
      <c r="C64" s="20" t="e" cm="1" vm="1">
        <f t="array" aca="1" ref="C64" ca="1">IFERROR(INDEX(Roster!A:V, MATCH(INDIRECT(ADDRESS(ROW(), COLUMN() - 2)), Roster!B:B, 0), B4), "")</f>
        <v>#VALUE!</v>
      </c>
      <c r="D64" s="19" t="str" cm="1">
        <f t="array" aca="1" ref="D64" ca="1">IFERROR("- " &amp; INDEX(Directory!A:C, MATCH(INDIRECT(ADDRESS(ROW(), COLUMN() - 1)), Directory!B:B, 0), COLUMN(Directory!C:C)), "")</f>
        <v/>
      </c>
      <c r="E64" s="20" cm="1">
        <f t="array" aca="1" ref="E64" ca="1">IFERROR(INDEX(Roster!A:V, MATCH(INDIRECT(ADDRESS(ROW(), COLUMN() - 4)), Roster!B:B, 0), B4 + 1), "")</f>
        <v>0</v>
      </c>
      <c r="F64" s="21" t="str" cm="1">
        <f t="array" aca="1" ref="F64" ca="1">IFERROR("- " &amp; INDEX(Directory!A:C, MATCH(INDIRECT(ADDRESS(ROW(), COLUMN() - 1)), Directory!B:B, 0), COLUMN(Directory!C:C)), "")</f>
        <v/>
      </c>
    </row>
    <row r="65" spans="1:6">
      <c r="A65" s="56" t="s">
        <v>16</v>
      </c>
      <c r="B65" s="57"/>
      <c r="C65" s="20" t="e" cm="1" vm="1">
        <f t="array" aca="1" ref="C65" ca="1">IFERROR(INDEX(Roster!A:V, MATCH(INDIRECT(ADDRESS(ROW(), COLUMN() - 2)), Roster!B:B, 0), B4), "")</f>
        <v>#VALUE!</v>
      </c>
      <c r="D65" s="19" t="str" cm="1">
        <f t="array" aca="1" ref="D65" ca="1">IFERROR("- " &amp; INDEX(Directory!A:C, MATCH(INDIRECT(ADDRESS(ROW(), COLUMN() - 1)), Directory!B:B, 0), COLUMN(Directory!C:C)), "")</f>
        <v/>
      </c>
      <c r="E65" s="20" cm="1">
        <f t="array" aca="1" ref="E65" ca="1">IFERROR(INDEX(Roster!A:V, MATCH(INDIRECT(ADDRESS(ROW(), COLUMN() - 4)), Roster!B:B, 0), B4 + 1), "")</f>
        <v>0</v>
      </c>
      <c r="F65" s="21" t="str" cm="1">
        <f t="array" aca="1" ref="F65" ca="1">IFERROR("- " &amp; INDEX(Directory!A:C, MATCH(INDIRECT(ADDRESS(ROW(), COLUMN() - 1)), Directory!B:B, 0), COLUMN(Directory!C:C)), "")</f>
        <v/>
      </c>
    </row>
    <row r="66" spans="1:6">
      <c r="A66" s="56" t="s">
        <v>17</v>
      </c>
      <c r="B66" s="57"/>
      <c r="C66" s="20" t="e" cm="1" vm="1">
        <f t="array" aca="1" ref="C66" ca="1">IFERROR(INDEX(Roster!A:V, MATCH(INDIRECT(ADDRESS(ROW(), COLUMN() - 2)), Roster!B:B, 0), B4), "")</f>
        <v>#VALUE!</v>
      </c>
      <c r="D66" s="19" t="str" cm="1">
        <f t="array" aca="1" ref="D66" ca="1">IFERROR("- " &amp; INDEX(Directory!A:C, MATCH(INDIRECT(ADDRESS(ROW(), COLUMN() - 1)), Directory!B:B, 0), COLUMN(Directory!C:C)), "")</f>
        <v/>
      </c>
      <c r="E66" s="20" cm="1">
        <f t="array" aca="1" ref="E66" ca="1">IFERROR(INDEX(Roster!A:V, MATCH(INDIRECT(ADDRESS(ROW(), COLUMN() - 4)), Roster!B:B, 0), B4 + 1), "")</f>
        <v>0</v>
      </c>
      <c r="F66" s="21" t="str" cm="1">
        <f t="array" aca="1" ref="F66" ca="1">IFERROR("- " &amp; INDEX(Directory!A:C, MATCH(INDIRECT(ADDRESS(ROW(), COLUMN() - 1)), Directory!B:B, 0), COLUMN(Directory!C:C)), "")</f>
        <v/>
      </c>
    </row>
    <row r="67" spans="1:6">
      <c r="A67" s="58"/>
      <c r="B67" s="59"/>
      <c r="C67" s="20"/>
      <c r="D67" s="19"/>
      <c r="E67" s="20"/>
      <c r="F67" s="21"/>
    </row>
    <row r="68" spans="1:6">
      <c r="A68" s="58" t="s">
        <v>108</v>
      </c>
      <c r="B68" s="59"/>
      <c r="C68" s="20"/>
      <c r="D68" s="19"/>
      <c r="E68" s="20"/>
      <c r="F68" s="21"/>
    </row>
    <row r="69" spans="1:6">
      <c r="A69" s="56" t="s">
        <v>12</v>
      </c>
      <c r="B69" s="57"/>
      <c r="C69" s="20" t="e" cm="1" vm="1">
        <f t="array" aca="1" ref="C69" ca="1">IFERROR(INDEX(Roster!A:V, MATCH(INDIRECT(ADDRESS(ROW(), COLUMN() - 2)), Roster!A:A, 0) + 1, B4), "")</f>
        <v>#VALUE!</v>
      </c>
      <c r="D69" s="19" t="str" cm="1">
        <f t="array" aca="1" ref="D69" ca="1">IFERROR("- " &amp; INDEX(Directory!A:C, MATCH(INDIRECT(ADDRESS(ROW(), COLUMN() - 1)), Directory!B:B, 0), COLUMN(Directory!C:C)), "")</f>
        <v/>
      </c>
      <c r="E69" s="20" cm="1">
        <f t="array" aca="1" ref="E69" ca="1">IFERROR(INDEX(Roster!A:V, MATCH(INDIRECT(ADDRESS(ROW(), COLUMN() - 4)), Roster!A:A, 0) + 1, B4 + 1), "")</f>
        <v>0</v>
      </c>
      <c r="F69" s="21" t="str" cm="1">
        <f t="array" aca="1" ref="F69" ca="1">IFERROR("- " &amp; INDEX(Directory!A:C, MATCH(INDIRECT(ADDRESS(ROW(), COLUMN() - 1)), Directory!B:B, 0), COLUMN(Directory!C:C)), "")</f>
        <v/>
      </c>
    </row>
    <row r="70" spans="1:6">
      <c r="A70" s="58"/>
      <c r="B70" s="59"/>
      <c r="C70" s="20"/>
      <c r="D70" s="19"/>
      <c r="E70" s="20"/>
      <c r="F70" s="21"/>
    </row>
    <row r="71" spans="1:6">
      <c r="A71" s="56" t="s">
        <v>36</v>
      </c>
      <c r="B71" s="57"/>
      <c r="C71" s="20" t="e" cm="1" vm="1">
        <f t="array" aca="1" ref="C71" ca="1">IFERROR(INDEX(Roster!A:V, MATCH(INDIRECT(ADDRESS(ROW(), COLUMN() - 2)), Roster!A:A, 0) + 1, B4), "")</f>
        <v>#VALUE!</v>
      </c>
      <c r="D71" s="19" t="str" cm="1">
        <f t="array" aca="1" ref="D71" ca="1">IFERROR("- " &amp; INDEX(Directory!A:C, MATCH(INDIRECT(ADDRESS(ROW(), COLUMN() - 1)), Directory!B:B, 0), COLUMN(Directory!C:C)), "")</f>
        <v/>
      </c>
      <c r="E71" s="20" cm="1">
        <f t="array" aca="1" ref="E71" ca="1">IFERROR(INDEX(Roster!A:V, MATCH(INDIRECT(ADDRESS(ROW(), COLUMN() - 4)), Roster!A:A, 0) + 1, B4 + 1), "")</f>
        <v>0</v>
      </c>
      <c r="F71" s="21" t="str" cm="1">
        <f t="array" aca="1" ref="F71" ca="1">IFERROR("- " &amp; INDEX(Directory!A:C, MATCH(INDIRECT(ADDRESS(ROW(), COLUMN() - 1)), Directory!B:B, 0), COLUMN(Directory!C:C)), "")</f>
        <v/>
      </c>
    </row>
    <row r="72" spans="1:6">
      <c r="A72" s="58"/>
      <c r="B72" s="59"/>
      <c r="C72" s="20"/>
      <c r="D72" s="19"/>
      <c r="E72" s="20"/>
      <c r="F72" s="21"/>
    </row>
    <row r="73" spans="1:6">
      <c r="A73" s="58" t="s">
        <v>217</v>
      </c>
      <c r="B73" s="59"/>
      <c r="C73" s="20" t="e" cm="1" vm="1">
        <f t="array" aca="1" ref="C73" ca="1">IFERROR(INDEX(Roster!A:V, MATCH(INDIRECT(ADDRESS(ROW(), COLUMN() - 2)), Roster!A:A, 0) + 1, B4), "")</f>
        <v>#VALUE!</v>
      </c>
      <c r="D73" s="19" t="str" cm="1">
        <f t="array" aca="1" ref="D73" ca="1">IFERROR("- " &amp; INDEX(Directory!A:C, MATCH(INDIRECT(ADDRESS(ROW(), COLUMN() - 1)), Directory!B:B, 0), COLUMN(Directory!C:C)), "")</f>
        <v/>
      </c>
      <c r="E73" s="20" cm="1">
        <f t="array" aca="1" ref="E73" ca="1">IFERROR(INDEX(Roster!A:V, MATCH(INDIRECT(ADDRESS(ROW(), COLUMN() - 4)), Roster!A:A, 0) + 1, B4 + 1), "")</f>
        <v>0</v>
      </c>
      <c r="F73" s="21" t="str" cm="1">
        <f t="array" aca="1" ref="F73" ca="1">IFERROR("- " &amp; INDEX(Directory!A:C, MATCH(INDIRECT(ADDRESS(ROW(), COLUMN() - 1)), Directory!B:B, 0), COLUMN(Directory!C:C)), "")</f>
        <v/>
      </c>
    </row>
    <row r="74" spans="1:6">
      <c r="A74" s="58"/>
      <c r="B74" s="59"/>
      <c r="C74" s="20"/>
      <c r="D74" s="19"/>
      <c r="E74" s="20"/>
      <c r="F74" s="21"/>
    </row>
    <row r="75" spans="1:6">
      <c r="A75" s="58" t="s">
        <v>209</v>
      </c>
      <c r="B75" s="59"/>
      <c r="C75" s="20"/>
      <c r="D75" s="19"/>
      <c r="E75" s="20"/>
      <c r="F75" s="21"/>
    </row>
    <row r="76" spans="1:6">
      <c r="A76" s="56" t="s">
        <v>24</v>
      </c>
      <c r="B76" s="57"/>
      <c r="C76" s="20" t="e" cm="1" vm="1">
        <f t="array" aca="1" ref="C76" ca="1">IFERROR(INDEX(Roster!A:V, MATCH(INDIRECT(ADDRESS(ROW(), COLUMN() - 2)), Roster!B:B, 0), B4), "")</f>
        <v>#VALUE!</v>
      </c>
      <c r="D76" s="19" t="str" cm="1">
        <f t="array" aca="1" ref="D76" ca="1">IFERROR("- " &amp; INDEX(Directory!A:C, MATCH(INDIRECT(ADDRESS(ROW(), COLUMN() - 1)), Directory!B:B, 0), COLUMN(Directory!C:C)), "")</f>
        <v/>
      </c>
      <c r="E76" s="20" cm="1">
        <f t="array" aca="1" ref="E76" ca="1">IFERROR(INDEX(Roster!A:V, MATCH(INDIRECT(ADDRESS(ROW(), COLUMN() - 4)), Roster!B:B, 0), B4 + 1), "")</f>
        <v>0</v>
      </c>
      <c r="F76" s="21" t="str" cm="1">
        <f t="array" aca="1" ref="F76" ca="1">IFERROR("- " &amp; INDEX(Directory!A:C, MATCH(INDIRECT(ADDRESS(ROW(), COLUMN() - 1)), Directory!B:B, 0), COLUMN(Directory!C:C)), "")</f>
        <v/>
      </c>
    </row>
    <row r="77" spans="1:6">
      <c r="A77" s="58"/>
      <c r="B77" s="59"/>
      <c r="C77" s="20"/>
      <c r="D77" s="19"/>
      <c r="E77" s="20"/>
      <c r="F77" s="21"/>
    </row>
    <row r="78" spans="1:6">
      <c r="A78" s="56" t="s">
        <v>25</v>
      </c>
      <c r="B78" s="57"/>
      <c r="C78" s="20" t="e" cm="1" vm="1">
        <f t="array" aca="1" ref="C78" ca="1">IFERROR(INDEX(Roster!A:V, MATCH(INDIRECT(ADDRESS(ROW(), COLUMN() - 2)), Roster!B:B, 0), B4), "")</f>
        <v>#VALUE!</v>
      </c>
      <c r="D78" s="19" t="str" cm="1">
        <f t="array" aca="1" ref="D78" ca="1">IFERROR("- " &amp; INDEX(Directory!A:C, MATCH(INDIRECT(ADDRESS(ROW(), COLUMN() - 1)), Directory!B:B, 0), COLUMN(Directory!C:C)), "")</f>
        <v/>
      </c>
      <c r="E78" s="20" cm="1">
        <f t="array" aca="1" ref="E78" ca="1">IFERROR(INDEX(Roster!A:V, MATCH(INDIRECT(ADDRESS(ROW(), COLUMN() - 4)), Roster!B:B, 0), B4 + 1), "")</f>
        <v>0</v>
      </c>
      <c r="F78" s="21" t="str" cm="1">
        <f t="array" aca="1" ref="F78" ca="1">IFERROR("- " &amp; INDEX(Directory!A:C, MATCH(INDIRECT(ADDRESS(ROW(), COLUMN() - 1)), Directory!B:B, 0), COLUMN(Directory!C:C)), "")</f>
        <v/>
      </c>
    </row>
    <row r="79" spans="1:6">
      <c r="A79" s="56" t="s">
        <v>26</v>
      </c>
      <c r="B79" s="57"/>
      <c r="C79" s="20" t="e" cm="1" vm="1">
        <f t="array" aca="1" ref="C79" ca="1">IFERROR(INDEX(Roster!A:V, MATCH(INDIRECT(ADDRESS(ROW(), COLUMN() - 2)), Roster!B:B, 0), B4), "")</f>
        <v>#VALUE!</v>
      </c>
      <c r="D79" s="19" t="str" cm="1">
        <f t="array" aca="1" ref="D79" ca="1">IFERROR("- " &amp; INDEX(Directory!A:C, MATCH(INDIRECT(ADDRESS(ROW(), COLUMN() - 1)), Directory!B:B, 0), COLUMN(Directory!C:C)), "")</f>
        <v/>
      </c>
      <c r="E79" s="20" cm="1">
        <f t="array" aca="1" ref="E79" ca="1">IFERROR(INDEX(Roster!A:V, MATCH(INDIRECT(ADDRESS(ROW(), COLUMN() - 4)), Roster!B:B, 0), B4 + 1), "")</f>
        <v>0</v>
      </c>
      <c r="F79" s="21" t="str" cm="1">
        <f t="array" aca="1" ref="F79" ca="1">IFERROR("- " &amp; INDEX(Directory!A:C, MATCH(INDIRECT(ADDRESS(ROW(), COLUMN() - 1)), Directory!B:B, 0), COLUMN(Directory!C:C)), "")</f>
        <v/>
      </c>
    </row>
    <row r="80" spans="1:6">
      <c r="A80" s="56" t="s">
        <v>27</v>
      </c>
      <c r="B80" s="57"/>
      <c r="C80" s="20" t="e" cm="1" vm="1">
        <f t="array" aca="1" ref="C80" ca="1">IFERROR(INDEX(Roster!A:V, MATCH(INDIRECT(ADDRESS(ROW(), COLUMN() - 2)), Roster!B:B, 0), B4), "")</f>
        <v>#VALUE!</v>
      </c>
      <c r="D80" s="19" t="str" cm="1">
        <f t="array" aca="1" ref="D80" ca="1">IFERROR("- " &amp; INDEX(Directory!A:C, MATCH(INDIRECT(ADDRESS(ROW(), COLUMN() - 1)), Directory!B:B, 0), COLUMN(Directory!C:C)), "")</f>
        <v/>
      </c>
      <c r="E80" s="20" cm="1">
        <f t="array" aca="1" ref="E80" ca="1">IFERROR(INDEX(Roster!A:V, MATCH(INDIRECT(ADDRESS(ROW(), COLUMN() - 4)), Roster!B:B, 0), B4 + 1), "")</f>
        <v>0</v>
      </c>
      <c r="F80" s="21" t="str" cm="1">
        <f t="array" aca="1" ref="F80" ca="1">IFERROR("- " &amp; INDEX(Directory!A:C, MATCH(INDIRECT(ADDRESS(ROW(), COLUMN() - 1)), Directory!B:B, 0), COLUMN(Directory!C:C)), "")</f>
        <v/>
      </c>
    </row>
    <row r="81" spans="1:6">
      <c r="A81" s="56" t="s">
        <v>28</v>
      </c>
      <c r="B81" s="57"/>
      <c r="C81" s="20" t="e" cm="1" vm="1">
        <f t="array" aca="1" ref="C81" ca="1">IFERROR(INDEX(Roster!A:V, MATCH(INDIRECT(ADDRESS(ROW(), COLUMN() - 2)), Roster!B:B, 0), B4), "")</f>
        <v>#VALUE!</v>
      </c>
      <c r="D81" s="19" t="str" cm="1">
        <f t="array" aca="1" ref="D81" ca="1">IFERROR("- " &amp; INDEX(Directory!A:C, MATCH(INDIRECT(ADDRESS(ROW(), COLUMN() - 1)), Directory!B:B, 0), COLUMN(Directory!C:C)), "")</f>
        <v/>
      </c>
      <c r="E81" s="20" cm="1">
        <f t="array" aca="1" ref="E81" ca="1">IFERROR(INDEX(Roster!A:V, MATCH(INDIRECT(ADDRESS(ROW(), COLUMN() - 4)), Roster!B:B, 0), B4 + 1), "")</f>
        <v>0</v>
      </c>
      <c r="F81" s="21" t="str" cm="1">
        <f t="array" aca="1" ref="F81" ca="1">IFERROR("- " &amp; INDEX(Directory!A:C, MATCH(INDIRECT(ADDRESS(ROW(), COLUMN() - 1)), Directory!B:B, 0), COLUMN(Directory!C:C)), "")</f>
        <v/>
      </c>
    </row>
    <row r="82" spans="1:6">
      <c r="A82" s="58"/>
      <c r="B82" s="59"/>
      <c r="C82" s="20"/>
      <c r="D82" s="19"/>
      <c r="E82" s="20"/>
      <c r="F82" s="21"/>
    </row>
    <row r="83" spans="1:6">
      <c r="A83" s="60" t="s">
        <v>18</v>
      </c>
      <c r="B83" s="61"/>
      <c r="C83" s="20"/>
      <c r="D83" s="19"/>
      <c r="E83" s="20"/>
      <c r="F83" s="21"/>
    </row>
    <row r="84" spans="1:6">
      <c r="A84" s="56" t="s">
        <v>19</v>
      </c>
      <c r="B84" s="57"/>
      <c r="C84" s="20" t="e" cm="1" vm="1">
        <f t="array" aca="1" ref="C84" ca="1">IFERROR(INDEX(Roster!A:V, MATCH(INDIRECT(ADDRESS(ROW(), COLUMN() - 2)), Roster!B:B, 0), B4), "")</f>
        <v>#VALUE!</v>
      </c>
      <c r="D84" s="19" t="str" cm="1">
        <f t="array" aca="1" ref="D84" ca="1">IFERROR("- " &amp; INDEX(Directory!A:C, MATCH(INDIRECT(ADDRESS(ROW(), COLUMN() - 1)), Directory!B:B, 0), COLUMN(Directory!C:C)), "")</f>
        <v/>
      </c>
      <c r="E84" s="20" cm="1">
        <f t="array" aca="1" ref="E84" ca="1">IFERROR(INDEX(Roster!A:V, MATCH(INDIRECT(ADDRESS(ROW(), COLUMN() - 4)), Roster!B:B, 0), B4 + 1), "")</f>
        <v>0</v>
      </c>
      <c r="F84" s="21" t="str" cm="1">
        <f t="array" aca="1" ref="F84" ca="1">IFERROR("- " &amp; INDEX(Directory!A:C, MATCH(INDIRECT(ADDRESS(ROW(), COLUMN() - 1)), Directory!B:B, 0), COLUMN(Directory!C:C)), "")</f>
        <v/>
      </c>
    </row>
    <row r="85" spans="1:6">
      <c r="A85" s="58"/>
      <c r="B85" s="59"/>
      <c r="C85" s="20"/>
      <c r="D85" s="19"/>
      <c r="E85" s="20"/>
      <c r="F85" s="21"/>
    </row>
    <row r="86" spans="1:6">
      <c r="A86" s="56" t="s">
        <v>6</v>
      </c>
      <c r="B86" s="57"/>
      <c r="C86" s="20" t="e" cm="1" vm="1">
        <f t="array" aca="1" ref="C86" ca="1">IFERROR(INDEX(Roster!A:V, MATCH(INDIRECT(ADDRESS(ROW(), COLUMN() - 2)), Roster!A:A, 0), B4), "")</f>
        <v>#VALUE!</v>
      </c>
      <c r="D86" s="19" t="str" cm="1">
        <f t="array" aca="1" ref="D86" ca="1">IFERROR("- " &amp; INDEX(Directory!A:C, MATCH(INDIRECT(ADDRESS(ROW(), COLUMN() - 1)), Directory!B:B, 0), COLUMN(Directory!C:C)), "")</f>
        <v/>
      </c>
      <c r="E86" s="20" t="str" cm="1">
        <f t="array" aca="1" ref="E86" ca="1">IFERROR(INDEX(Roster!A:V, MATCH(INDIRECT(ADDRESS(ROW(), COLUMN() - 4)), Roster!A:A, 0), B4 + 1), "")</f>
        <v>Digital Marketing Solutions &amp; Services</v>
      </c>
      <c r="F86" s="21" t="str" cm="1">
        <f t="array" aca="1" ref="F86" ca="1">IFERROR("- " &amp; INDEX(Directory!A:C, MATCH(INDIRECT(ADDRESS(ROW(), COLUMN() - 1)), Directory!B:B, 0), COLUMN(Directory!C:C)), "")</f>
        <v/>
      </c>
    </row>
    <row r="87" spans="1:6">
      <c r="A87" s="58"/>
      <c r="B87" s="59"/>
      <c r="C87" s="20"/>
      <c r="D87" s="19"/>
      <c r="E87" s="20"/>
      <c r="F87" s="21"/>
    </row>
    <row r="88" spans="1:6">
      <c r="A88" s="58" t="s">
        <v>210</v>
      </c>
      <c r="B88" s="62"/>
      <c r="C88" s="20"/>
      <c r="D88" s="19"/>
      <c r="E88" s="20"/>
      <c r="F88" s="21"/>
    </row>
    <row r="89" spans="1:6">
      <c r="A89" s="56" t="s">
        <v>30</v>
      </c>
      <c r="B89" s="57"/>
      <c r="C89" s="20" t="e" cm="1" vm="1">
        <f t="array" aca="1" ref="C89" ca="1">IFERROR(INDEX(Roster!A:V, MATCH(INDIRECT(ADDRESS(ROW(), COLUMN() - 2)), Roster!B:B, 0), B4), "")</f>
        <v>#VALUE!</v>
      </c>
      <c r="D89" s="19" t="str" cm="1">
        <f t="array" aca="1" ref="D89" ca="1">IFERROR("- " &amp; INDEX(Directory!A:C, MATCH(INDIRECT(ADDRESS(ROW(), COLUMN() - 1)), Directory!B:B, 0), COLUMN(Directory!C:C)), "")</f>
        <v/>
      </c>
      <c r="E89" s="20" cm="1">
        <f t="array" aca="1" ref="E89" ca="1">IFERROR(INDEX(Roster!A:V, MATCH(INDIRECT(ADDRESS(ROW(), COLUMN() - 4)), Roster!B:B, 0), B4 + 1), "")</f>
        <v>0</v>
      </c>
      <c r="F89" s="21" t="str" cm="1">
        <f t="array" aca="1" ref="F89" ca="1">IFERROR("- " &amp; INDEX(Directory!A:C, MATCH(INDIRECT(ADDRESS(ROW(), COLUMN() - 1)), Directory!B:B, 0), COLUMN(Directory!C:C)), "")</f>
        <v/>
      </c>
    </row>
    <row r="90" spans="1:6">
      <c r="A90" s="56" t="s">
        <v>31</v>
      </c>
      <c r="B90" s="57"/>
      <c r="C90" s="20" t="e" cm="1" vm="1">
        <f t="array" aca="1" ref="C90" ca="1">IFERROR(INDEX(Roster!A:V, MATCH(INDIRECT(ADDRESS(ROW(), COLUMN() - 2)), Roster!B:B, 0), B4), "")</f>
        <v>#VALUE!</v>
      </c>
      <c r="D90" s="19" t="str" cm="1">
        <f t="array" aca="1" ref="D90" ca="1">IFERROR("- " &amp; INDEX(Directory!A:C, MATCH(INDIRECT(ADDRESS(ROW(), COLUMN() - 1)), Directory!B:B, 0), COLUMN(Directory!C:C)), "")</f>
        <v/>
      </c>
      <c r="E90" s="20" cm="1">
        <f t="array" aca="1" ref="E90" ca="1">IFERROR(INDEX(Roster!A:V, MATCH(INDIRECT(ADDRESS(ROW(), COLUMN() - 4)), Roster!B:B, 0), B4 + 1), "")</f>
        <v>0</v>
      </c>
      <c r="F90" s="21" t="str" cm="1">
        <f t="array" aca="1" ref="F90" ca="1">IFERROR("- " &amp; INDEX(Directory!A:C, MATCH(INDIRECT(ADDRESS(ROW(), COLUMN() - 1)), Directory!B:B, 0), COLUMN(Directory!C:C)), "")</f>
        <v/>
      </c>
    </row>
    <row r="91" spans="1:6">
      <c r="A91" s="58"/>
      <c r="B91" s="59"/>
      <c r="C91" s="10" t="s">
        <v>216</v>
      </c>
      <c r="D91" s="11" t="s">
        <v>214</v>
      </c>
      <c r="E91" s="10" t="s">
        <v>216</v>
      </c>
      <c r="F91" s="12" t="s">
        <v>214</v>
      </c>
    </row>
    <row r="92" spans="1:6">
      <c r="A92" s="58"/>
      <c r="B92" s="59"/>
      <c r="C92" s="20"/>
      <c r="D92" s="19"/>
      <c r="E92" s="20"/>
      <c r="F92" s="21"/>
    </row>
    <row r="93" spans="1:6">
      <c r="A93" s="58" t="s">
        <v>215</v>
      </c>
      <c r="B93" s="59"/>
      <c r="C93" s="20" t="e" cm="1" vm="1">
        <f t="array" aca="1" ref="C93" ca="1">IFERROR(INDEX(Roster!A:V, MATCH(INDIRECT(ADDRESS(ROW(), COLUMN() - 2)), Roster!A:A, 0) + 1, B4), "")</f>
        <v>#VALUE!</v>
      </c>
      <c r="D93" s="19" t="str" cm="1">
        <f t="array" aca="1" ref="D93" ca="1">IFERROR("- " &amp; INDEX(Directory!A:C, MATCH(INDIRECT(ADDRESS(ROW(), COLUMN() - 1)), Directory!B:B, 0), COLUMN(Directory!C:C)), "")</f>
        <v/>
      </c>
      <c r="E93" s="20" cm="1">
        <f t="array" aca="1" ref="E93" ca="1">IFERROR(INDEX(Roster!A:V, MATCH(INDIRECT(ADDRESS(ROW(), COLUMN() - 4)), Roster!A:A, 0) + 1, B4 + 1), "")</f>
        <v>0</v>
      </c>
      <c r="F93" s="21" t="str" cm="1">
        <f t="array" aca="1" ref="F93" ca="1">IFERROR("- " &amp; INDEX(Directory!A:C, MATCH(INDIRECT(ADDRESS(ROW(), COLUMN() - 1)), Directory!B:B, 0), COLUMN(Directory!C:C)), "")</f>
        <v/>
      </c>
    </row>
    <row r="94" spans="1:6">
      <c r="A94" s="58"/>
      <c r="B94" s="59"/>
      <c r="C94" s="10" t="s">
        <v>109</v>
      </c>
      <c r="D94" s="11" t="s">
        <v>213</v>
      </c>
      <c r="E94" s="10" t="s">
        <v>109</v>
      </c>
      <c r="F94" s="12" t="s">
        <v>213</v>
      </c>
    </row>
    <row r="95" spans="1:6">
      <c r="A95" s="58"/>
      <c r="B95" s="59"/>
      <c r="C95" s="20"/>
      <c r="D95" s="19"/>
      <c r="E95" s="20"/>
      <c r="F95" s="21"/>
    </row>
    <row r="96" spans="1:6">
      <c r="A96" s="58" t="s">
        <v>110</v>
      </c>
      <c r="B96" s="59"/>
      <c r="C96" s="20"/>
      <c r="D96" s="19"/>
      <c r="E96" s="20"/>
      <c r="F96" s="21"/>
    </row>
    <row r="97" spans="1:6">
      <c r="A97" s="56" t="s">
        <v>33</v>
      </c>
      <c r="B97" s="57"/>
      <c r="C97" s="20" t="e" cm="1" vm="1">
        <f t="array" aca="1" ref="C97" ca="1">IFERROR(INDEX(Roster!A:V, MATCH(INDIRECT(ADDRESS(ROW(), COLUMN() - 2)), Roster!B:B, 0), B4), "")</f>
        <v>#VALUE!</v>
      </c>
      <c r="D97" s="19" t="str" cm="1">
        <f t="array" aca="1" ref="D97" ca="1">IFERROR("- " &amp; INDEX(Directory!A:C, MATCH(INDIRECT(ADDRESS(ROW(), COLUMN() - 1)), Directory!B:B, 0), COLUMN(Directory!C:C)), "")</f>
        <v/>
      </c>
      <c r="E97" s="20" t="str" cm="1">
        <f t="array" aca="1" ref="E97" ca="1">IFERROR(INDEX(Roster!A:V, MATCH(INDIRECT(ADDRESS(ROW(), COLUMN() - 4)), Roster!B:B, 0), B4 + 1), "")</f>
        <v>Finance</v>
      </c>
      <c r="F97" s="21" t="str" cm="1">
        <f t="array" aca="1" ref="F97" ca="1">IFERROR("- " &amp; INDEX(Directory!A:C, MATCH(INDIRECT(ADDRESS(ROW(), COLUMN() - 1)), Directory!B:B, 0), COLUMN(Directory!C:C)), "")</f>
        <v/>
      </c>
    </row>
    <row r="98" spans="1:6">
      <c r="A98" s="58"/>
      <c r="B98" s="59"/>
      <c r="C98" s="20"/>
      <c r="D98" s="19"/>
      <c r="E98" s="20"/>
      <c r="F98" s="21"/>
    </row>
    <row r="99" spans="1:6">
      <c r="A99" s="58" t="s">
        <v>212</v>
      </c>
      <c r="B99" s="59"/>
      <c r="C99" s="20" t="e" cm="1" vm="1">
        <f t="array" aca="1" ref="C99" ca="1">IFERROR(INDEX(Roster!A:V, MATCH(INDIRECT(ADDRESS(ROW(), COLUMN() - 2)), Roster!A:A, 0), B4), "")</f>
        <v>#VALUE!</v>
      </c>
      <c r="D99" s="19" t="str" cm="1">
        <f t="array" aca="1" ref="D99" ca="1">IFERROR("- " &amp; INDEX(Directory!A:C, MATCH(INDIRECT(ADDRESS(ROW(), COLUMN() - 1)), Directory!B:B, 0), COLUMN(Directory!C:C)), "")</f>
        <v/>
      </c>
      <c r="E99" s="20" t="str" cm="1">
        <f t="array" aca="1" ref="E99" ca="1">IFERROR(INDEX(Roster!A:V, MATCH(INDIRECT(ADDRESS(ROW(), COLUMN() - 4)), Roster!A:A, 0), B4 + 1), "")</f>
        <v>Human Resources</v>
      </c>
      <c r="F99" s="21" t="str" cm="1">
        <f t="array" aca="1" ref="F99" ca="1">IFERROR("- " &amp; INDEX(Directory!A:C, MATCH(INDIRECT(ADDRESS(ROW(), COLUMN() - 1)), Directory!B:B, 0), COLUMN(Directory!C:C)), "")</f>
        <v/>
      </c>
    </row>
    <row r="100" spans="1:6">
      <c r="A100" s="58"/>
      <c r="B100" s="59"/>
      <c r="C100" s="20"/>
      <c r="D100" s="19"/>
      <c r="E100" s="20"/>
      <c r="F100" s="21"/>
    </row>
    <row r="101" spans="1:6">
      <c r="A101" s="58" t="s">
        <v>211</v>
      </c>
      <c r="B101" s="62"/>
      <c r="C101" s="20" t="e" cm="1" vm="1">
        <f t="array" aca="1" ref="C101" ca="1">IFERROR(INDEX(Roster!A:V, MATCH(INDIRECT(ADDRESS(ROW(), COLUMN() - 2)), Roster!A:A, 0), B4), "")</f>
        <v>#VALUE!</v>
      </c>
      <c r="D101" s="19" t="str" cm="1">
        <f t="array" aca="1" ref="D101" ca="1">IFERROR("- " &amp; INDEX(Directory!A:C, MATCH(INDIRECT(ADDRESS(ROW(), COLUMN() - 1)), Directory!B:B, 0), COLUMN(Directory!C:C)), "")</f>
        <v/>
      </c>
      <c r="E101" s="20" t="str" cm="1">
        <f t="array" aca="1" ref="E101" ca="1">IFERROR(INDEX(Roster!A:V, MATCH(INDIRECT(ADDRESS(ROW(), COLUMN() - 4)), Roster!A:A, 0), B4 + 1), "")</f>
        <v>Audit</v>
      </c>
      <c r="F101" s="21" t="str" cm="1">
        <f t="array" aca="1" ref="F101" ca="1">IFERROR("- " &amp; INDEX(Directory!A:C, MATCH(INDIRECT(ADDRESS(ROW(), COLUMN() - 1)), Directory!B:B, 0), COLUMN(Directory!C:C)), "")</f>
        <v/>
      </c>
    </row>
    <row r="102" spans="1:6">
      <c r="A102" s="52"/>
      <c r="B102" s="53"/>
      <c r="C102" s="22"/>
      <c r="D102" s="23"/>
      <c r="E102" s="22"/>
      <c r="F102" s="24"/>
    </row>
    <row r="103" spans="1:6">
      <c r="A103" s="2" t="s">
        <v>111</v>
      </c>
      <c r="B103" s="4"/>
      <c r="C103" s="4"/>
      <c r="D103" s="3"/>
      <c r="E103" s="3"/>
      <c r="F103" s="4"/>
    </row>
    <row r="104" spans="1:6">
      <c r="A104" s="1" t="s">
        <v>112</v>
      </c>
      <c r="B104" s="4"/>
      <c r="C104" s="4"/>
      <c r="D104" s="3"/>
      <c r="E104" s="3"/>
      <c r="F104" s="4"/>
    </row>
  </sheetData>
  <mergeCells count="77">
    <mergeCell ref="A81:B81"/>
    <mergeCell ref="A82:B82"/>
    <mergeCell ref="A100:B100"/>
    <mergeCell ref="A101:B101"/>
    <mergeCell ref="C1:D1"/>
    <mergeCell ref="A44:B44"/>
    <mergeCell ref="A33:B33"/>
    <mergeCell ref="A34:B34"/>
    <mergeCell ref="A36:B36"/>
    <mergeCell ref="A37:B37"/>
    <mergeCell ref="A38:B38"/>
    <mergeCell ref="A39:B39"/>
    <mergeCell ref="A40:B40"/>
    <mergeCell ref="A41:B41"/>
    <mergeCell ref="A42:B42"/>
    <mergeCell ref="A43:B43"/>
    <mergeCell ref="E1:F1"/>
    <mergeCell ref="A30:F30"/>
    <mergeCell ref="A31:B31"/>
    <mergeCell ref="C31:D31"/>
    <mergeCell ref="E31:F31"/>
    <mergeCell ref="A56:B56"/>
    <mergeCell ref="A45:B45"/>
    <mergeCell ref="A46:B46"/>
    <mergeCell ref="A48:B48"/>
    <mergeCell ref="A50:B50"/>
    <mergeCell ref="A52:B52"/>
    <mergeCell ref="A53:B53"/>
    <mergeCell ref="A54:B54"/>
    <mergeCell ref="A55:B55"/>
    <mergeCell ref="A47:B47"/>
    <mergeCell ref="A49:B49"/>
    <mergeCell ref="A51:B51"/>
    <mergeCell ref="A68:B68"/>
    <mergeCell ref="A57:B57"/>
    <mergeCell ref="A58:B58"/>
    <mergeCell ref="A59:B59"/>
    <mergeCell ref="A60:B60"/>
    <mergeCell ref="A62:B62"/>
    <mergeCell ref="A63:B63"/>
    <mergeCell ref="A64:B64"/>
    <mergeCell ref="A65:B65"/>
    <mergeCell ref="A66:B66"/>
    <mergeCell ref="A67:B67"/>
    <mergeCell ref="A61:B61"/>
    <mergeCell ref="A78:B78"/>
    <mergeCell ref="A69:B69"/>
    <mergeCell ref="A71:B71"/>
    <mergeCell ref="A72:B72"/>
    <mergeCell ref="A73:B73"/>
    <mergeCell ref="A74:B74"/>
    <mergeCell ref="A75:B75"/>
    <mergeCell ref="A76:B76"/>
    <mergeCell ref="A77:B77"/>
    <mergeCell ref="A70:B70"/>
    <mergeCell ref="A87:B87"/>
    <mergeCell ref="A88:B88"/>
    <mergeCell ref="A89:B89"/>
    <mergeCell ref="A90:B90"/>
    <mergeCell ref="A92:B92"/>
    <mergeCell ref="A91:B91"/>
    <mergeCell ref="A102:B102"/>
    <mergeCell ref="A32:B32"/>
    <mergeCell ref="A35:B35"/>
    <mergeCell ref="A99:B99"/>
    <mergeCell ref="A94:B94"/>
    <mergeCell ref="A95:B95"/>
    <mergeCell ref="A96:B96"/>
    <mergeCell ref="A97:B97"/>
    <mergeCell ref="A98:B98"/>
    <mergeCell ref="A93:B93"/>
    <mergeCell ref="A79:B79"/>
    <mergeCell ref="A80:B80"/>
    <mergeCell ref="A83:B83"/>
    <mergeCell ref="A84:B84"/>
    <mergeCell ref="A85:B85"/>
    <mergeCell ref="A86:B86"/>
  </mergeCells>
  <conditionalFormatting sqref="A1:F3 A5:F104 C4:F4">
    <cfRule type="cellIs" dxfId="0" priority="1" operator="equal">
      <formula>0</formula>
    </cfRule>
  </conditionalFormatting>
  <pageMargins left="0.7" right="0.7" top="0.75" bottom="0.75" header="0.3" footer="0.3"/>
  <pageSetup paperSize="9" scale="44" orientation="portrait" r:id="rId1"/>
  <ignoredErrors>
    <ignoredError sqref="E35:E90 E92:E101" formula="1"/>
    <ignoredError sqref="F91 D91 D94 F94" numberStoredAsTex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F367B9-7BF1-4BEC-AC45-6ED33E20950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Directory</vt:lpstr>
      <vt:lpstr>Roster</vt:lpstr>
      <vt:lpstr>List</vt:lpstr>
      <vt:lpstr>List!Print_Area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Chan, CheeHo C H</dc:creator>
  <cp:lastModifiedBy>dsrpa@hq.bus.hkjc.org.hk</cp:lastModifiedBy>
  <cp:lastPrinted>2024-07-12T10:19:53Z</cp:lastPrinted>
  <dcterms:created xsi:type="dcterms:W3CDTF">2024-07-12T08:40:07Z</dcterms:created>
  <dcterms:modified xsi:type="dcterms:W3CDTF">2024-07-31T08:30:07Z</dcterms:modified>
</cp:coreProperties>
</file>